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88" windowHeight="11304" tabRatio="500" activeTab="5"/>
  </bookViews>
  <sheets>
    <sheet name="Product Backlog" sheetId="1" r:id="rId1"/>
    <sheet name="Sprint Backlog" sheetId="2" r:id="rId2"/>
    <sheet name="Project Information" sheetId="3" r:id="rId3"/>
    <sheet name="team" sheetId="4" r:id="rId4"/>
    <sheet name="Bảng phân công công việc " sheetId="5" r:id="rId5"/>
    <sheet name="PERT CHART" sheetId="6" r:id="rId6"/>
  </sheets>
  <calcPr calcId="144525"/>
</workbook>
</file>

<file path=xl/sharedStrings.xml><?xml version="1.0" encoding="utf-8"?>
<sst xmlns="http://schemas.openxmlformats.org/spreadsheetml/2006/main" count="461" uniqueCount="274">
  <si>
    <t>DỰ ÁN HỆ THỐNG QUẢN LÝ NHÀ HÀNG - PRODUCT BACKLOG</t>
  </si>
  <si>
    <t>Story ID</t>
  </si>
  <si>
    <t>Story Name</t>
  </si>
  <si>
    <t>Points</t>
  </si>
  <si>
    <t>EPIC 1: Quản lý Thực đơn &amp; Món ăn</t>
  </si>
  <si>
    <t>US-01</t>
  </si>
  <si>
    <t>Là admin/nhân viên được phân quyền, tôi muốn tạo và cập nhật thông tin món ăn (tên, hình ảnh, mô tả, nhóm món, giá bán, tình trạng phục vụ) để thực đơn luôn chính xác và đầy đủ.</t>
  </si>
  <si>
    <t>US-02</t>
  </si>
  <si>
    <t>Là admin, tôi muốn tổ chức thực đơn theo các nhóm món (khai vị, món chính, tráng miệng, thức uống...) để khách hàng dễ dàng tra cứu.</t>
  </si>
  <si>
    <t>US-03</t>
  </si>
  <si>
    <t>Là nhân viên, tôi muốn cập nhật hoặc tạm ngừng phục vụ một món khi nguyên liệu không đủ hoặc nhà hàng chủ động ngừng bán.</t>
  </si>
  <si>
    <t>EPIC 2: Xem thông tin &amp; Tìm kiếm món ăn</t>
  </si>
  <si>
    <t>US-04</t>
  </si>
  <si>
    <t>Là khách hàng, tôi muốn xem thông tin nhà hàng (thời gian hoạt động, địa chỉ, khu vực phục vụ) và thực đơn hiện có để nắm rõ trước khi đặt bàn.</t>
  </si>
  <si>
    <t>US-05</t>
  </si>
  <si>
    <t>Là khách hàng, tôi muốn tìm kiếm hoặc lựa chọn món ăn từ thực đơn, xem chi tiết và tình trạng hiện tại của món để lựa chọn phù hợp.</t>
  </si>
  <si>
    <t>EPIC 3: Quản lý Khu vực &amp; Bàn ăn</t>
  </si>
  <si>
    <t>US-06</t>
  </si>
  <si>
    <t>Là admin, tôi muốn quản lý các khu vực bàn ăn và danh sách bàn trong từng khu vực, bao gồm số chỗ ngồi tối đa của mỗi bàn.</t>
  </si>
  <si>
    <t>US-07</t>
  </si>
  <si>
    <t>Là hệ thống, cần theo dõi và cập nhật trạng thái sử dụng của từng bàn để hỗ trợ kiểm tra khả năng phục vụ theo thời gian thực.</t>
  </si>
  <si>
    <t>EPIC 4: Đặt bàn</t>
  </si>
  <si>
    <t>US-08</t>
  </si>
  <si>
    <t>Là khách hàng, tôi muốn chọn ngày, giờ và số lượng người để gửi yêu cầu đặt bàn.</t>
  </si>
  <si>
    <t>US-09</t>
  </si>
  <si>
    <t>Là hệ thống, cần kiểm tra khả năng phục vụ dựa trên số lượng bàn còn phù hợp tại thời điểm khách yêu cầu đặt bàn.</t>
  </si>
  <si>
    <t>US-10</t>
  </si>
  <si>
    <t>Là nhân viên, tôi muốn xác nhận, điều chỉnh hoặc từ chối yêu cầu đặt bàn trong trường hợp không còn bàn phù hợp.</t>
  </si>
  <si>
    <t>US-11</t>
  </si>
  <si>
    <t>Là khách hàng, tôi muốn theo dõi thông tin lịch hẹn đặt bàn và nhận thông báo khi có thay đổi.</t>
  </si>
  <si>
    <t>EPIC 5: Đặt món trước</t>
  </si>
  <si>
    <t>US-12</t>
  </si>
  <si>
    <t>Là khách hàng, tôi muốn đặt món trước cho buổi ăn (danh sách món, số lượng, yêu cầu đặc biệt) và liên kết đơn món với thông tin đặt bàn tương ứng.</t>
  </si>
  <si>
    <t>US-13</t>
  </si>
  <si>
    <t>Là hệ thống, cần kiểm tra khả năng đáp ứng nguyên liệu của các món được đặt trước để nhà hàng xác nhận đơn món trước khi phục vụ.</t>
  </si>
  <si>
    <t>EPIC 6: Quản lý Nguyên liệu, Công thức &amp; Tồn kho</t>
  </si>
  <si>
    <t>US-14</t>
  </si>
  <si>
    <t>Là admin, tôi muốn quản lý danh sách nguyên liệu và số lượng tồn kho hiện có của nhà hàng.</t>
  </si>
  <si>
    <t>US-15</t>
  </si>
  <si>
    <t>Là admin, tôi muốn khai báo công thức của từng món ăn gồm các nguyên liệu cần thiết và định lượng tương ứng.</t>
  </si>
  <si>
    <t>US-16</t>
  </si>
  <si>
    <t>Là hệ thống, cần kiểm tra lượng nguyên liệu cần thiết so với tồn kho khi một món được đặt, và tự động đánh dấu món tạm hết khi nguyên liệu quan trọng không đủ.</t>
  </si>
  <si>
    <t>US-17</t>
  </si>
  <si>
    <t>Là admin, tôi muốn ghi nhận hoạt động nhập nguyên liệu (nguyên liệu, số lượng, thời gian nhập) để cập nhật tồn kho khi có hàng mới.</t>
  </si>
  <si>
    <t>EPIC 7: Tiếp nhận khách &amp; Gọi món tại bàn</t>
  </si>
  <si>
    <t>US-18</t>
  </si>
  <si>
    <t>Là nhân viên, tôi muốn tiếp nhận và xác nhận khách đã đến theo thông tin đặt bàn.</t>
  </si>
  <si>
    <t>US-19</t>
  </si>
  <si>
    <t>Là nhân viên, tôi muốn sắp xếp bàn trực tiếp cho khách chưa đặt trước nếu còn bàn phù hợp.</t>
  </si>
  <si>
    <t>US-20</t>
  </si>
  <si>
    <t>Là nhân viên phục vụ, tôi muốn ghi nhận các món khách gọi thêm vào đơn của bàn trong quá trình sử dụng bàn.</t>
  </si>
  <si>
    <t>EPIC 8: Quản lý Bếp &amp; Chế biến</t>
  </si>
  <si>
    <t>US-21</t>
  </si>
  <si>
    <t>Là nhân viên bếp, tôi muốn xem danh sách các món đang chờ xử lý cùng thông tin bàn/đơn liên quan, số lượng và ghi chú đặc biệt.</t>
  </si>
  <si>
    <t>US-22</t>
  </si>
  <si>
    <t>Là nhân viên bếp, tôi muốn cập nhật trạng thái chế biến của từng món (chờ chế biến, đang chế biến, đã hoàn thành) để hệ thống theo dõi tiến độ.</t>
  </si>
  <si>
    <t>US-23</t>
  </si>
  <si>
    <t>Là nhân viên phục vụ, tôi muốn theo dõi trạng thái các món của từng bàn và cập nhật khi món đã được mang đến cho khách.</t>
  </si>
  <si>
    <t>US-24</t>
  </si>
  <si>
    <t>Là hệ thống, cần tự động tính toán và trừ lượng nguyên liệu tồn kho dựa trên công thức khi món được xác nhận chế biến hoặc hoàn tất.</t>
  </si>
  <si>
    <t>EPIC 9: Thanh toán &amp; Đặt cọc</t>
  </si>
  <si>
    <t>US-25</t>
  </si>
  <si>
    <t>Là hệ thống, cần tổng hợp toàn bộ món đã sử dụng, dịch vụ/phí phát sinh và các khoản giảm giá để xác định tổng số tiền cần thanh toán khi khách yêu cầu.</t>
  </si>
  <si>
    <t>US-26</t>
  </si>
  <si>
    <t>Là khách hàng, tôi muốn thanh toán theo các phương thức nhà hàng hỗ trợ và hoàn tất đơn của bàn sau khi thanh toán thành công.</t>
  </si>
  <si>
    <t>US-27</t>
  </si>
  <si>
    <t>Là hệ thống, cần ghi nhận khoản tiền đặt cọc đã thanh toán trước và khấu trừ khi tính tổng hóa đơn cuối cùng.</t>
  </si>
  <si>
    <t>US-28</t>
  </si>
  <si>
    <t>Là khách hàng, tôi muốn xem lại lịch sử đặt bàn, các đơn món đã sử dụng và thông tin thanh toán liên quan.</t>
  </si>
  <si>
    <t>EPIC 10: Báo cáo &amp; Thống kê</t>
  </si>
  <si>
    <t>US-29</t>
  </si>
  <si>
    <t>Là quản lý, tôi muốn xem báo cáo thống kê hoạt động (số lượt đặt bàn, tỷ lệ sử dụng bàn, số lượng khách, món bán chạy, doanh thu theo ngày/tháng) để theo dõi tình hình kinh doanh.</t>
  </si>
  <si>
    <t>US-30</t>
  </si>
  <si>
    <t>Là quản lý, tôi muốn xem thống kê về nguyên liệu (lượng đã sử dụng, tồn kho thấp, hết hàng, mức tiêu thụ theo thời gian) để điều chỉnh thực đơn và chuẩn bị nguyên liệu phù hợp.</t>
  </si>
  <si>
    <t>TỔNG ĐIỂM</t>
  </si>
  <si>
    <t>DỰ ÁN HỆ THỐNG QUẢN LÝ NHÀ HÀNG - SPRINT BACKLOG</t>
  </si>
  <si>
    <t>Name Of Dev</t>
  </si>
  <si>
    <t>Start Date</t>
  </si>
  <si>
    <t>End Date</t>
  </si>
  <si>
    <t>Act Start Date</t>
  </si>
  <si>
    <t>Act End Date</t>
  </si>
  <si>
    <t>Act Points</t>
  </si>
  <si>
    <t>Notes</t>
  </si>
  <si>
    <t>Sprint 1  (10/09/2026 - 28/09/2026)</t>
  </si>
  <si>
    <t xml:space="preserve">Tấn Phú </t>
  </si>
  <si>
    <t>28/09/2026</t>
  </si>
  <si>
    <t xml:space="preserve">Anh Việt </t>
  </si>
  <si>
    <t>Sprint 2  (10/09/2026 - 12/10/2026)</t>
  </si>
  <si>
    <t>12/10/2026</t>
  </si>
  <si>
    <t xml:space="preserve">Quốc Toàn </t>
  </si>
  <si>
    <t>Sprint 3  (10/09/2026 - 26/10/2026)</t>
  </si>
  <si>
    <t>26/10/2026</t>
  </si>
  <si>
    <t>Sprint 4  (17/09/2026 - 09/11/2026)</t>
  </si>
  <si>
    <t>09/11/2026</t>
  </si>
  <si>
    <t>Sprint 5  (17/09/2026 - 23/11/2026)</t>
  </si>
  <si>
    <t>23/11/2026</t>
  </si>
  <si>
    <t>Sprint 6  (24/11/2026 - 07/12/2026)</t>
  </si>
  <si>
    <t>24/11/2026</t>
  </si>
  <si>
    <t>07/12/2026</t>
  </si>
  <si>
    <t>Sprint 7  (08/12/2026 - 21/12/2026)</t>
  </si>
  <si>
    <t xml:space="preserve">Thanh Phong </t>
  </si>
  <si>
    <t>08/12/2026</t>
  </si>
  <si>
    <t>21/12/2026</t>
  </si>
  <si>
    <t xml:space="preserve">Phúc Thiện </t>
  </si>
  <si>
    <t>Sprint 8  (22/12/2026 - 04/01/2027)</t>
  </si>
  <si>
    <t>22/12/2026</t>
  </si>
  <si>
    <t>04/01/2027</t>
  </si>
  <si>
    <t>Sprint 9  (05/01/2027 - 18/01/2027)</t>
  </si>
  <si>
    <t>05/01/2027</t>
  </si>
  <si>
    <t>18/01/2027</t>
  </si>
  <si>
    <t>Sprint 10  (19/01/2027 - 01/02/2027)</t>
  </si>
  <si>
    <t>19/01/2027</t>
  </si>
  <si>
    <t>01/02/2027</t>
  </si>
  <si>
    <t>Sprint 11  (02/02/2027 - 15/02/2027)</t>
  </si>
  <si>
    <t>02/02/2027</t>
  </si>
  <si>
    <t>15/02/2027</t>
  </si>
  <si>
    <t>Sprint 12  (16/02/2027 - 01/03/2027)</t>
  </si>
  <si>
    <t>16/02/2027</t>
  </si>
  <si>
    <t>01/03/2027</t>
  </si>
  <si>
    <t>TỔNG ĐIỂM TOÀN DỰ ÁN</t>
  </si>
  <si>
    <t>I. Requirements</t>
  </si>
  <si>
    <t>Xây dựng hệ thống quản lý nhà hàng cho phép nhà hàng quản lý thực đơn, khu vực bàn ăn, đặt bàn, đặt món và hoạt động phục vụ khách hàng.
Hệ thống cho phép khách hàng xem thông tin nhà hàng, thực đơn, tìm kiếm và lựa chọn món ăn; gửi yêu cầu đặt bàn theo ngày, giờ và số lượng người; đặt món trước hoặc gọi thêm món trong quá trình sử dụng bàn.
Hệ thống hỗ trợ kiểm tra khả năng phục vụ dựa trên số lượng bàn còn phù hợp và khả năng đáp ứng nguyên liệu của món ăn thông qua công thức món và tồn kho nguyên liệu; hỗ trợ xác nhận, điều chỉnh hoặc từ chối yêu cầu đặt bàn/đặt món.
Hệ thống hỗ trợ quy trình chế biến tại bộ phận bếp với các trạng thái chờ chế biến, đang chế biến, hoàn thành; hỗ trợ nhân viên phục vụ theo dõi và cập nhật trạng thái phục vụ món ăn.
Hệ thống hỗ trợ tổng hợp hóa đơn, thanh toán, quản lý tiền đặt cọc và theo dõi lịch sử đặt bàn, đơn món, giao dịch của khách hàng.
Hệ thống hỗ trợ nhà hàng quản lý nhập nguyên liệu, theo dõi tồn kho và xem báo cáo thống kê về hoạt động đặt bàn, doanh thu, món bán chạy và tình hình tiêu thụ nguyên liệu.
Hệ thống được phát triển theo kiến trúc client-server, backend cung cấp RESTful API dùng chung cho Web Application và Mobile Application.</t>
  </si>
  <si>
    <t>TEAM DEVELOPMENT STRUCTURE</t>
  </si>
  <si>
    <t>No.</t>
  </si>
  <si>
    <t>Name</t>
  </si>
  <si>
    <t>Account</t>
  </si>
  <si>
    <t>Roles</t>
  </si>
  <si>
    <t>DateStart</t>
  </si>
  <si>
    <t>Date End</t>
  </si>
  <si>
    <t>Nguyễn Quốc Toàn</t>
  </si>
  <si>
    <t>ToanNguyenQuoc</t>
  </si>
  <si>
    <t>Team Lead</t>
  </si>
  <si>
    <t>Huỳnh Thanh Phong</t>
  </si>
  <si>
    <t>Phong8383</t>
  </si>
  <si>
    <t>Product Owner</t>
  </si>
  <si>
    <t>Nguyễn Đăng Phúc Thiện</t>
  </si>
  <si>
    <t>nguyenthien2006-design</t>
  </si>
  <si>
    <t>Scrum Master</t>
  </si>
  <si>
    <t>Trịnh Tấn Phú</t>
  </si>
  <si>
    <t>TnPhuu</t>
  </si>
  <si>
    <t>Developer 1</t>
  </si>
  <si>
    <t>Đoàn Anh Việt</t>
  </si>
  <si>
    <t>Viet3487</t>
  </si>
  <si>
    <t>Developer 2</t>
  </si>
  <si>
    <t xml:space="preserve">BẢNG PHÂN CÔNG CÔNG VIỆC CHI TIẾT </t>
  </si>
  <si>
    <t xml:space="preserve">Công Việc </t>
  </si>
  <si>
    <t>Người thực hiện</t>
  </si>
  <si>
    <t>Deadline</t>
  </si>
  <si>
    <t xml:space="preserve">Công nghệ / Tool / Thư viện </t>
  </si>
  <si>
    <t>Phân tích yêu cầu và xác định thông tin món ăn — US-01</t>
  </si>
  <si>
    <t>Word / Excel</t>
  </si>
  <si>
    <t>Thiết kế dữ liệu và lập trình quản lý món ăn — US-01</t>
  </si>
  <si>
    <t>SQL / Backend</t>
  </si>
  <si>
    <t>Thiết kế giao diện và kiểm thử US-01</t>
  </si>
  <si>
    <t>Đoàn Anh Việt + Nguyễn Đăng Phúc Thiện</t>
  </si>
  <si>
    <t>Figma / Test Case</t>
  </si>
  <si>
    <t>Phân tích và thiết kế chức năng phân loại món — US-02</t>
  </si>
  <si>
    <t>Huỳnh Thanh Phong + Đoàn Anh Việt</t>
  </si>
  <si>
    <t>Word / Figma</t>
  </si>
  <si>
    <t>Lập trình chức năng phân loại món — US-02</t>
  </si>
  <si>
    <t>Kiểm thử và review US-02</t>
  </si>
  <si>
    <t>Nguyễn Đăng Phúc Thiện + Nguyễn Quốc Toàn</t>
  </si>
  <si>
    <t>Test Case / GitHub</t>
  </si>
  <si>
    <t>Phân tích và lập trình trạng thái phục vụ món — US-03</t>
  </si>
  <si>
    <t>Backend / SQL</t>
  </si>
  <si>
    <t>Kiểm thử và tích hợp US-01 → US-03</t>
  </si>
  <si>
    <t>Phân tích yêu cầu xem thông tin nhà hàng — US-04</t>
  </si>
  <si>
    <t>Thiết kế và lập trình giao diện thông tin — US-04</t>
  </si>
  <si>
    <t>Figma / Frontend</t>
  </si>
  <si>
    <t>Kiểm thử US-04</t>
  </si>
  <si>
    <t>Test Case</t>
  </si>
  <si>
    <t>Phân tích chức năng tìm kiếm món — US-05</t>
  </si>
  <si>
    <t>Lập trình chức năng tìm kiếm — US-05</t>
  </si>
  <si>
    <t>Thiết kế giao diện, kiểm thử và review US-05</t>
  </si>
  <si>
    <t>Đoàn Anh Việt + Nguyễn Đăng Phúc Thiện + Nguyễn Quốc Toàn</t>
  </si>
  <si>
    <t>Figma / Test Case / GitHub</t>
  </si>
  <si>
    <t>Thiết kế dữ liệu khu vực và bàn — US-06</t>
  </si>
  <si>
    <t>Nguyễn Quốc Toàn + Trịnh Tấn Phú</t>
  </si>
  <si>
    <t>ERD / SQL</t>
  </si>
  <si>
    <t>Lập trình quản lý khu vực &amp; bàn — US-06, US-07</t>
  </si>
  <si>
    <t>Kiểm thử và tích hợp US-04 → US-07</t>
  </si>
  <si>
    <t>Tích hợp và kiểm tra chung US-01 → US-03</t>
  </si>
  <si>
    <t>Nguyễn Quốc Toàn – Team Lead</t>
  </si>
  <si>
    <t>GitHub / Code Review</t>
  </si>
  <si>
    <t>Tổng hợp kết quả Sprint và cập nhật tài liệu</t>
  </si>
  <si>
    <t>Nguyễn Đăng Phúc Thiện – Scrum Master</t>
  </si>
  <si>
    <t>Phân tích quy trình đặt bàn — US-08</t>
  </si>
  <si>
    <t>Thiết kế giao diện đặt bàn — US-08</t>
  </si>
  <si>
    <t>Lập trình chức năng đặt bàn — US-08</t>
  </si>
  <si>
    <t>Kiểm thử và review US-08</t>
  </si>
  <si>
    <t>Phân tích điều kiện kiểm tra bàn phù hợp — US-09</t>
  </si>
  <si>
    <t>Huỳnh Thanh Phong + Nguyễn Quốc Toàn</t>
  </si>
  <si>
    <t>Word / ERD</t>
  </si>
  <si>
    <t>Lập trình kiểm tra bàn phù hợp — US-09</t>
  </si>
  <si>
    <t>Kiểm thử và tích hợp US-08 → US-09</t>
  </si>
  <si>
    <t>Nguyễn Đăng Phúc Thiện + Đoàn Anh Việt</t>
  </si>
  <si>
    <t>Test Case / Frontend</t>
  </si>
  <si>
    <t>Review kết quả Sprint</t>
  </si>
  <si>
    <t>GitHub / Review</t>
  </si>
  <si>
    <t>Phân tích quy trình xác nhận và xử lý đặt bàn — US-10</t>
  </si>
  <si>
    <t>Lập trình xử lý yêu cầu đặt bàn — US-10</t>
  </si>
  <si>
    <t>Thiết kế giao diện và kiểm thử US-10</t>
  </si>
  <si>
    <t>Phân tích chức năng theo dõi lịch đặt bàn — US-11</t>
  </si>
  <si>
    <t>Thiết kế và lập trình theo dõi lịch đặt — US-11</t>
  </si>
  <si>
    <t>Đoàn Anh Việt + Trịnh Tấn Phú</t>
  </si>
  <si>
    <t>Frontend / Backend</t>
  </si>
  <si>
    <t>Kiểm thử và review US-11</t>
  </si>
  <si>
    <t>Phân tích quy trình đặt món trước — US-12</t>
  </si>
  <si>
    <t>Lập trình và tích hợp US-12</t>
  </si>
  <si>
    <t>Trịnh Tấn Phú + Đoàn Anh Việt</t>
  </si>
  <si>
    <t>Backend / Frontend</t>
  </si>
  <si>
    <t>Kiểm thử tổng thể US-10 → US-12</t>
  </si>
  <si>
    <t>Review Sprint</t>
  </si>
  <si>
    <t>Phân tích yêu cầu đặt món và kiểm tra nguyên liệu — US-13</t>
  </si>
  <si>
    <t>Thiết kế logic kiểm tra nguyên liệu — US-13</t>
  </si>
  <si>
    <t>Lập trình chức năng kiểm tra nguyên liệu — US-13</t>
  </si>
  <si>
    <t>Kiểm thử và review US-13</t>
  </si>
  <si>
    <t>Phân tích yêu cầu quản lý nguyên liệu — US-14</t>
  </si>
  <si>
    <t>Thiết kế cơ sở dữ liệu nguyên liệu — US-14</t>
  </si>
  <si>
    <t>SQL</t>
  </si>
  <si>
    <t>Thiết kế giao diện quản lý nguyên liệu — US-14</t>
  </si>
  <si>
    <t>Kiểm thử và tích hợp US-13 → US-14</t>
  </si>
  <si>
    <t>Tổng hợp kết quả Sprint</t>
  </si>
  <si>
    <t xml:space="preserve">PERT CHART </t>
  </si>
  <si>
    <t xml:space="preserve">Mã </t>
  </si>
  <si>
    <t xml:space="preserve">Công việc </t>
  </si>
  <si>
    <t xml:space="preserve">Công việc trước </t>
  </si>
  <si>
    <t>O-Lạc quan</t>
  </si>
  <si>
    <t xml:space="preserve">M-Khả năng cao </t>
  </si>
  <si>
    <t>P-Bi quan</t>
  </si>
  <si>
    <t xml:space="preserve">Thời gian </t>
  </si>
  <si>
    <t>A</t>
  </si>
  <si>
    <t xml:space="preserve">Phân tích yêu cầu toàn hệ thống </t>
  </si>
  <si>
    <t>-</t>
  </si>
  <si>
    <t>B</t>
  </si>
  <si>
    <t xml:space="preserve">Phân tích &amp; đặc tả chức năng thực đơn , món ăn </t>
  </si>
  <si>
    <t>C</t>
  </si>
  <si>
    <t xml:space="preserve">Phân tích &amp; đặc tả chức năng khu vực , bàn ăn , đặt bàn </t>
  </si>
  <si>
    <t>D</t>
  </si>
  <si>
    <t xml:space="preserve">Phân tích &amp; đặc tả chức năng , đặt món , nguyên liệu , tồn kho </t>
  </si>
  <si>
    <t xml:space="preserve">E </t>
  </si>
  <si>
    <t xml:space="preserve">Phân tích &amp; đặc tả chức năng bếp , thanh toán , báo cáo </t>
  </si>
  <si>
    <t xml:space="preserve">F </t>
  </si>
  <si>
    <t xml:space="preserve">Thiết kế CSDL toàn hệ thống </t>
  </si>
  <si>
    <t xml:space="preserve">B , C , D , E </t>
  </si>
  <si>
    <t xml:space="preserve">G </t>
  </si>
  <si>
    <t xml:space="preserve">Thiết kế giao diện toàn hệ thống </t>
  </si>
  <si>
    <t xml:space="preserve">H </t>
  </si>
  <si>
    <t xml:space="preserve">Lập trình chức năng thực đơn &amp; món ăn </t>
  </si>
  <si>
    <t xml:space="preserve">F , G </t>
  </si>
  <si>
    <t xml:space="preserve">I </t>
  </si>
  <si>
    <t xml:space="preserve">Lập trình khu vực , bàn ăn &amp; đặt bàn </t>
  </si>
  <si>
    <t>J</t>
  </si>
  <si>
    <t>Lập trình đặt món , nguyên liệu &amp; tồn kho</t>
  </si>
  <si>
    <t>F , G</t>
  </si>
  <si>
    <t>K</t>
  </si>
  <si>
    <t xml:space="preserve">Lập trình bếp , thanh toán &amp; đặt cọc </t>
  </si>
  <si>
    <t xml:space="preserve">F , G , J </t>
  </si>
  <si>
    <t xml:space="preserve">L </t>
  </si>
  <si>
    <t xml:space="preserve">Lập trình báo cáo &amp; thống kê </t>
  </si>
  <si>
    <t xml:space="preserve">F , H , I , J , K </t>
  </si>
  <si>
    <t>M</t>
  </si>
  <si>
    <t xml:space="preserve">Tích hợp các chức năng toàn hệ thống </t>
  </si>
  <si>
    <t xml:space="preserve">H , I , J , K , L </t>
  </si>
  <si>
    <t>N</t>
  </si>
  <si>
    <t>Kiểm thử chức năng</t>
  </si>
  <si>
    <t>O</t>
  </si>
  <si>
    <t xml:space="preserve">Sửa lỗi &amp; hoàn thiện hệ thống </t>
  </si>
  <si>
    <t xml:space="preserve">P </t>
  </si>
  <si>
    <t xml:space="preserve">Review &amp; nghiệm thu hệ thống </t>
  </si>
  <si>
    <t xml:space="preserve">O </t>
  </si>
  <si>
    <t>Q</t>
  </si>
  <si>
    <t xml:space="preserve">Triển khai &amp; hoàn tất dự án </t>
  </si>
  <si>
    <t>P</t>
  </si>
</sst>
</file>

<file path=xl/styles.xml><?xml version="1.0" encoding="utf-8"?>
<styleSheet xmlns="http://schemas.openxmlformats.org/spreadsheetml/2006/main">
  <numFmts count="4">
    <numFmt numFmtId="176" formatCode="_(* #,##0_);_(* \(#,##0\);_(* &quot;-&quot;_);_(@_)"/>
    <numFmt numFmtId="177" formatCode="_(* #,##0.00_);_(* \(#,##0.00\);_(* &quot;-&quot;??_);_(@_)"/>
    <numFmt numFmtId="178" formatCode="_(&quot;$&quot;* #,##0_);_(&quot;$&quot;* \(#,##0\);_(&quot;$&quot;* &quot;-&quot;_);_(@_)"/>
    <numFmt numFmtId="179" formatCode="_(&quot;$&quot;* #,##0.00_);_(&quot;$&quot;* \(#,##0.00\);_(&quot;$&quot;* &quot;-&quot;??_);_(@_)"/>
  </numFmts>
  <fonts count="32">
    <font>
      <sz val="11"/>
      <color theme="1"/>
      <name val="Calibri"/>
      <charset val="1"/>
    </font>
    <font>
      <b/>
      <sz val="18"/>
      <color theme="1"/>
      <name val="Calibri"/>
      <charset val="1"/>
    </font>
    <font>
      <b/>
      <sz val="12"/>
      <color theme="1"/>
      <name val="Calibri"/>
      <charset val="1"/>
    </font>
    <font>
      <b/>
      <sz val="14"/>
      <color theme="1"/>
      <name val="Calibri"/>
      <charset val="1"/>
    </font>
    <font>
      <b/>
      <sz val="10"/>
      <name val="Arial"/>
      <charset val="1"/>
    </font>
    <font>
      <sz val="14"/>
      <name val="Times New Roman"/>
      <charset val="1"/>
    </font>
    <font>
      <b/>
      <sz val="14"/>
      <name val="Arial"/>
      <charset val="1"/>
    </font>
    <font>
      <sz val="9"/>
      <color rgb="FF808080"/>
      <name val="Arial"/>
      <charset val="1"/>
    </font>
    <font>
      <b/>
      <sz val="10"/>
      <color rgb="FFFFFFFF"/>
      <name val="Arial"/>
      <charset val="1"/>
    </font>
    <font>
      <sz val="10"/>
      <name val="Arial"/>
      <charset val="1"/>
    </font>
    <font>
      <b/>
      <sz val="20"/>
      <color theme="1"/>
      <name val="Calibri"/>
      <charset val="1"/>
    </font>
    <font>
      <sz val="11"/>
      <color rgb="FFFA7D00"/>
      <name val="Calibri"/>
      <charset val="0"/>
      <scheme val="minor"/>
    </font>
    <font>
      <u/>
      <sz val="11"/>
      <color rgb="FF800080"/>
      <name val="Calibri"/>
      <charset val="0"/>
      <scheme val="minor"/>
    </font>
    <font>
      <b/>
      <sz val="13"/>
      <color theme="3"/>
      <name val="Calibri"/>
      <charset val="134"/>
      <scheme val="minor"/>
    </font>
    <font>
      <sz val="11"/>
      <color theme="0"/>
      <name val="Calibri"/>
      <charset val="0"/>
      <scheme val="minor"/>
    </font>
    <font>
      <b/>
      <sz val="11"/>
      <color theme="3"/>
      <name val="Calibri"/>
      <charset val="134"/>
      <scheme val="minor"/>
    </font>
    <font>
      <sz val="10"/>
      <name val="Arial"/>
      <charset val="134"/>
    </font>
    <font>
      <b/>
      <sz val="11"/>
      <color rgb="FFFFFFFF"/>
      <name val="Calibri"/>
      <charset val="0"/>
      <scheme val="minor"/>
    </font>
    <font>
      <sz val="11"/>
      <color rgb="FF9C6500"/>
      <name val="Calibri"/>
      <charset val="0"/>
      <scheme val="minor"/>
    </font>
    <font>
      <sz val="11"/>
      <color rgb="FF9C0006"/>
      <name val="Calibri"/>
      <charset val="0"/>
      <scheme val="minor"/>
    </font>
    <font>
      <sz val="11"/>
      <color theme="1"/>
      <name val="Calibri"/>
      <charset val="0"/>
      <scheme val="minor"/>
    </font>
    <font>
      <i/>
      <sz val="11"/>
      <color rgb="FF7F7F7F"/>
      <name val="Calibri"/>
      <charset val="0"/>
      <scheme val="minor"/>
    </font>
    <font>
      <sz val="11"/>
      <color rgb="FFFF0000"/>
      <name val="Calibri"/>
      <charset val="0"/>
      <scheme val="minor"/>
    </font>
    <font>
      <sz val="11"/>
      <color rgb="FF3F3F76"/>
      <name val="Calibri"/>
      <charset val="0"/>
      <scheme val="minor"/>
    </font>
    <font>
      <b/>
      <sz val="15"/>
      <color theme="3"/>
      <name val="Calibri"/>
      <charset val="134"/>
      <scheme val="minor"/>
    </font>
    <font>
      <b/>
      <sz val="11"/>
      <color rgb="FFFA7D00"/>
      <name val="Calibri"/>
      <charset val="0"/>
      <scheme val="minor"/>
    </font>
    <font>
      <u/>
      <sz val="11"/>
      <color rgb="FF0000FF"/>
      <name val="Calibri"/>
      <charset val="0"/>
      <scheme val="minor"/>
    </font>
    <font>
      <sz val="11"/>
      <color rgb="FF006100"/>
      <name val="Calibri"/>
      <charset val="0"/>
      <scheme val="minor"/>
    </font>
    <font>
      <sz val="11"/>
      <color theme="1"/>
      <name val="Calibri"/>
      <charset val="134"/>
      <scheme val="minor"/>
    </font>
    <font>
      <b/>
      <sz val="11"/>
      <color theme="1"/>
      <name val="Calibri"/>
      <charset val="0"/>
      <scheme val="minor"/>
    </font>
    <font>
      <b/>
      <sz val="11"/>
      <color rgb="FF3F3F3F"/>
      <name val="Calibri"/>
      <charset val="0"/>
      <scheme val="minor"/>
    </font>
    <font>
      <b/>
      <sz val="18"/>
      <color theme="3"/>
      <name val="Calibri"/>
      <charset val="134"/>
      <scheme val="minor"/>
    </font>
  </fonts>
  <fills count="36">
    <fill>
      <patternFill patternType="none"/>
    </fill>
    <fill>
      <patternFill patternType="gray125"/>
    </fill>
    <fill>
      <patternFill patternType="solid">
        <fgColor rgb="FF000000"/>
        <bgColor rgb="FF003300"/>
      </patternFill>
    </fill>
    <fill>
      <patternFill patternType="solid">
        <fgColor rgb="FFC6EFCE"/>
        <bgColor rgb="FFCCFFFF"/>
      </patternFill>
    </fill>
    <fill>
      <patternFill patternType="solid">
        <fgColor rgb="FFCCFFFF"/>
        <bgColor rgb="FFCCFFFF"/>
      </patternFill>
    </fill>
    <fill>
      <patternFill patternType="solid">
        <fgColor theme="4"/>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theme="4" tint="0.799981688894314"/>
        <bgColor indexed="64"/>
      </patternFill>
    </fill>
    <fill>
      <patternFill patternType="solid">
        <fgColor rgb="FFFFCC99"/>
        <bgColor indexed="64"/>
      </patternFill>
    </fill>
    <fill>
      <patternFill patternType="solid">
        <fgColor rgb="FFF2F2F2"/>
        <bgColor indexed="64"/>
      </patternFill>
    </fill>
    <fill>
      <patternFill patternType="solid">
        <fgColor theme="6"/>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rgb="FFC6EFCE"/>
        <bgColor indexed="64"/>
      </patternFill>
    </fill>
    <fill>
      <patternFill patternType="solid">
        <fgColor rgb="FFFFFFCC"/>
        <bgColor indexed="64"/>
      </patternFill>
    </fill>
    <fill>
      <patternFill patternType="solid">
        <fgColor theme="8"/>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7"/>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7" tint="0.599993896298105"/>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20" fillId="14" borderId="0" applyNumberFormat="0" applyBorder="0" applyAlignment="0" applyProtection="0">
      <alignment vertical="center"/>
    </xf>
    <xf numFmtId="177" fontId="16" fillId="0" borderId="0" applyBorder="0" applyAlignment="0" applyProtection="0"/>
    <xf numFmtId="176" fontId="16" fillId="0" borderId="0" applyBorder="0" applyAlignment="0" applyProtection="0"/>
    <xf numFmtId="178" fontId="16" fillId="0" borderId="0" applyBorder="0" applyAlignment="0" applyProtection="0"/>
    <xf numFmtId="179" fontId="16" fillId="0" borderId="0" applyBorder="0" applyAlignment="0" applyProtection="0"/>
    <xf numFmtId="9" fontId="16" fillId="0" borderId="0" applyBorder="0" applyAlignment="0" applyProtection="0"/>
    <xf numFmtId="0" fontId="17" fillId="6" borderId="7" applyNumberFormat="0" applyAlignment="0" applyProtection="0">
      <alignment vertical="center"/>
    </xf>
    <xf numFmtId="0" fontId="13" fillId="0" borderId="5" applyNumberFormat="0" applyFill="0" applyAlignment="0" applyProtection="0">
      <alignment vertical="center"/>
    </xf>
    <xf numFmtId="0" fontId="28" fillId="16" borderId="9" applyNumberFormat="0" applyFont="0" applyAlignment="0" applyProtection="0">
      <alignment vertical="center"/>
    </xf>
    <xf numFmtId="0" fontId="26" fillId="0" borderId="0" applyNumberFormat="0" applyFill="0" applyBorder="0" applyAlignment="0" applyProtection="0">
      <alignment vertical="center"/>
    </xf>
    <xf numFmtId="0" fontId="14" fillId="19" borderId="0" applyNumberFormat="0" applyBorder="0" applyAlignment="0" applyProtection="0">
      <alignment vertical="center"/>
    </xf>
    <xf numFmtId="0" fontId="12" fillId="0" borderId="0" applyNumberFormat="0" applyFill="0" applyBorder="0" applyAlignment="0" applyProtection="0">
      <alignment vertical="center"/>
    </xf>
    <xf numFmtId="0" fontId="20" fillId="22" borderId="0" applyNumberFormat="0" applyBorder="0" applyAlignment="0" applyProtection="0">
      <alignment vertical="center"/>
    </xf>
    <xf numFmtId="0" fontId="22" fillId="0" borderId="0" applyNumberFormat="0" applyFill="0" applyBorder="0" applyAlignment="0" applyProtection="0">
      <alignment vertical="center"/>
    </xf>
    <xf numFmtId="0" fontId="20" fillId="25" borderId="0" applyNumberFormat="0" applyBorder="0" applyAlignment="0" applyProtection="0">
      <alignment vertical="center"/>
    </xf>
    <xf numFmtId="0" fontId="3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23" fillId="10" borderId="8" applyNumberFormat="0" applyAlignment="0" applyProtection="0">
      <alignment vertical="center"/>
    </xf>
    <xf numFmtId="0" fontId="14" fillId="28" borderId="0" applyNumberFormat="0" applyBorder="0" applyAlignment="0" applyProtection="0">
      <alignment vertical="center"/>
    </xf>
    <xf numFmtId="0" fontId="27" fillId="15" borderId="0" applyNumberFormat="0" applyBorder="0" applyAlignment="0" applyProtection="0">
      <alignment vertical="center"/>
    </xf>
    <xf numFmtId="0" fontId="30" fillId="11" borderId="11" applyNumberFormat="0" applyAlignment="0" applyProtection="0">
      <alignment vertical="center"/>
    </xf>
    <xf numFmtId="0" fontId="20" fillId="9" borderId="0" applyNumberFormat="0" applyBorder="0" applyAlignment="0" applyProtection="0">
      <alignment vertical="center"/>
    </xf>
    <xf numFmtId="0" fontId="25" fillId="11" borderId="8" applyNumberFormat="0" applyAlignment="0" applyProtection="0">
      <alignment vertical="center"/>
    </xf>
    <xf numFmtId="0" fontId="11" fillId="0" borderId="4" applyNumberFormat="0" applyFill="0" applyAlignment="0" applyProtection="0">
      <alignment vertical="center"/>
    </xf>
    <xf numFmtId="0" fontId="29" fillId="0" borderId="10" applyNumberFormat="0" applyFill="0" applyAlignment="0" applyProtection="0">
      <alignment vertical="center"/>
    </xf>
    <xf numFmtId="0" fontId="19" fillId="8" borderId="0" applyNumberFormat="0" applyBorder="0" applyAlignment="0" applyProtection="0">
      <alignment vertical="center"/>
    </xf>
    <xf numFmtId="0" fontId="18" fillId="7" borderId="0" applyNumberFormat="0" applyBorder="0" applyAlignment="0" applyProtection="0">
      <alignment vertical="center"/>
    </xf>
    <xf numFmtId="0" fontId="14" fillId="5" borderId="0" applyNumberFormat="0" applyBorder="0" applyAlignment="0" applyProtection="0">
      <alignment vertical="center"/>
    </xf>
    <xf numFmtId="0" fontId="20" fillId="30" borderId="0" applyNumberFormat="0" applyBorder="0" applyAlignment="0" applyProtection="0">
      <alignment vertical="center"/>
    </xf>
    <xf numFmtId="0" fontId="14" fillId="18" borderId="0" applyNumberFormat="0" applyBorder="0" applyAlignment="0" applyProtection="0">
      <alignment vertical="center"/>
    </xf>
    <xf numFmtId="0" fontId="14" fillId="27" borderId="0" applyNumberFormat="0" applyBorder="0" applyAlignment="0" applyProtection="0">
      <alignment vertical="center"/>
    </xf>
    <xf numFmtId="0" fontId="20" fillId="13" borderId="0" applyNumberFormat="0" applyBorder="0" applyAlignment="0" applyProtection="0">
      <alignment vertical="center"/>
    </xf>
    <xf numFmtId="0" fontId="20" fillId="3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20" fillId="32" borderId="0" applyNumberFormat="0" applyBorder="0" applyAlignment="0" applyProtection="0">
      <alignment vertical="center"/>
    </xf>
    <xf numFmtId="0" fontId="14" fillId="20" borderId="0" applyNumberFormat="0" applyBorder="0" applyAlignment="0" applyProtection="0">
      <alignment vertical="center"/>
    </xf>
    <xf numFmtId="0" fontId="20" fillId="29" borderId="0" applyNumberFormat="0" applyBorder="0" applyAlignment="0" applyProtection="0">
      <alignment vertical="center"/>
    </xf>
    <xf numFmtId="0" fontId="20" fillId="35" borderId="0" applyNumberFormat="0" applyBorder="0" applyAlignment="0" applyProtection="0">
      <alignment vertical="center"/>
    </xf>
    <xf numFmtId="0" fontId="14" fillId="17" borderId="0" applyNumberFormat="0" applyBorder="0" applyAlignment="0" applyProtection="0">
      <alignment vertical="center"/>
    </xf>
    <xf numFmtId="0" fontId="20" fillId="34" borderId="0" applyNumberFormat="0" applyBorder="0" applyAlignment="0" applyProtection="0">
      <alignment vertical="center"/>
    </xf>
    <xf numFmtId="0" fontId="14" fillId="24" borderId="0" applyNumberFormat="0" applyBorder="0" applyAlignment="0" applyProtection="0">
      <alignment vertical="center"/>
    </xf>
    <xf numFmtId="0" fontId="14" fillId="23" borderId="0" applyNumberFormat="0" applyBorder="0" applyAlignment="0" applyProtection="0">
      <alignment vertical="center"/>
    </xf>
    <xf numFmtId="0" fontId="20" fillId="31" borderId="0" applyNumberFormat="0" applyBorder="0" applyAlignment="0" applyProtection="0">
      <alignment vertical="center"/>
    </xf>
    <xf numFmtId="0" fontId="14" fillId="26" borderId="0" applyNumberFormat="0" applyBorder="0" applyAlignment="0" applyProtection="0">
      <alignment vertical="center"/>
    </xf>
  </cellStyleXfs>
  <cellXfs count="43">
    <xf numFmtId="0" fontId="0" fillId="0" borderId="0" xfId="0"/>
    <xf numFmtId="0" fontId="1" fillId="0" borderId="0" xfId="0" applyFont="1" applyAlignment="1">
      <alignment horizontal="center" vertical="center"/>
    </xf>
    <xf numFmtId="0" fontId="1" fillId="0" borderId="0" xfId="0" applyFont="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vertical="center"/>
    </xf>
    <xf numFmtId="0" fontId="3" fillId="0" borderId="0" xfId="0" applyFont="1"/>
    <xf numFmtId="0" fontId="2" fillId="0" borderId="1" xfId="0" applyFont="1" applyBorder="1" applyAlignment="1">
      <alignment horizontal="center" vertical="center"/>
    </xf>
    <xf numFmtId="0" fontId="0" fillId="0" borderId="1" xfId="0" applyBorder="1" applyAlignment="1">
      <alignment vertical="center" wrapText="1"/>
    </xf>
    <xf numFmtId="58"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4" fillId="0" borderId="0" xfId="0" applyFont="1" applyBorder="1" applyAlignment="1">
      <alignment horizontal="center"/>
    </xf>
    <xf numFmtId="0" fontId="4" fillId="0" borderId="1" xfId="0" applyFont="1" applyBorder="1"/>
    <xf numFmtId="0" fontId="0" fillId="0" borderId="1" xfId="0" applyBorder="1"/>
    <xf numFmtId="0" fontId="4" fillId="0" borderId="0" xfId="0" applyFont="1"/>
    <xf numFmtId="0" fontId="5" fillId="0" borderId="0" xfId="0" applyFont="1" applyBorder="1" applyAlignment="1">
      <alignment horizontal="left" vertical="top" wrapText="1"/>
    </xf>
    <xf numFmtId="0" fontId="6" fillId="0" borderId="0" xfId="0" applyFont="1" applyBorder="1" applyAlignment="1">
      <alignment horizontal="center" vertical="center"/>
    </xf>
    <xf numFmtId="0" fontId="7" fillId="0" borderId="0" xfId="0" applyFont="1" applyBorder="1" applyAlignment="1">
      <alignment horizontal="left" vertical="center" wrapText="1"/>
    </xf>
    <xf numFmtId="0" fontId="8" fillId="2" borderId="3" xfId="0" applyFont="1" applyFill="1" applyBorder="1" applyAlignment="1">
      <alignment horizontal="center" vertical="center"/>
    </xf>
    <xf numFmtId="0" fontId="4" fillId="3" borderId="3" xfId="0" applyFont="1" applyFill="1" applyBorder="1"/>
    <xf numFmtId="0" fontId="4" fillId="3" borderId="3" xfId="0" applyFont="1" applyFill="1" applyBorder="1" applyAlignment="1">
      <alignment horizontal="center" vertical="center"/>
    </xf>
    <xf numFmtId="0" fontId="0" fillId="3" borderId="3" xfId="0" applyFill="1" applyBorder="1"/>
    <xf numFmtId="0" fontId="9" fillId="0" borderId="3" xfId="0" applyFont="1" applyBorder="1" applyAlignment="1">
      <alignment horizontal="center" vertical="center"/>
    </xf>
    <xf numFmtId="0" fontId="9" fillId="0" borderId="3" xfId="0" applyFont="1" applyBorder="1" applyAlignment="1">
      <alignment horizontal="left" vertical="center" wrapText="1"/>
    </xf>
    <xf numFmtId="0" fontId="0" fillId="0" borderId="3" xfId="0" applyBorder="1" applyAlignment="1">
      <alignment horizontal="center" vertical="center"/>
    </xf>
    <xf numFmtId="58" fontId="9" fillId="0" borderId="3" xfId="0" applyNumberFormat="1" applyFont="1" applyBorder="1" applyAlignment="1">
      <alignment horizontal="center" vertical="center"/>
    </xf>
    <xf numFmtId="0" fontId="0" fillId="0" borderId="3" xfId="0" applyBorder="1"/>
    <xf numFmtId="0" fontId="0" fillId="3" borderId="3" xfId="0" applyFill="1" applyBorder="1" applyAlignment="1">
      <alignment horizontal="center" vertical="center"/>
    </xf>
    <xf numFmtId="0" fontId="4" fillId="4" borderId="3" xfId="0" applyFont="1" applyFill="1" applyBorder="1"/>
    <xf numFmtId="0" fontId="4" fillId="0" borderId="3" xfId="0" applyFont="1" applyBorder="1" applyAlignment="1">
      <alignment horizontal="center" vertical="center"/>
    </xf>
    <xf numFmtId="0" fontId="10" fillId="0" borderId="0" xfId="0" applyFont="1"/>
    <xf numFmtId="0" fontId="8" fillId="0" borderId="0" xfId="0" applyFont="1" applyFill="1" applyBorder="1" applyAlignment="1">
      <alignment vertical="center"/>
    </xf>
    <xf numFmtId="0" fontId="4" fillId="0" borderId="0" xfId="0" applyFont="1" applyFill="1" applyBorder="1" applyAlignment="1"/>
    <xf numFmtId="0" fontId="4" fillId="0" borderId="0" xfId="0" applyFont="1" applyFill="1" applyBorder="1" applyAlignment="1">
      <alignment vertical="center"/>
    </xf>
    <xf numFmtId="0" fontId="0" fillId="0" borderId="0" xfId="0" applyFill="1" applyBorder="1" applyAlignment="1"/>
    <xf numFmtId="0" fontId="9" fillId="0" borderId="0" xfId="0" applyFont="1" applyFill="1" applyBorder="1" applyAlignment="1">
      <alignment vertical="center"/>
    </xf>
    <xf numFmtId="0" fontId="9" fillId="0" borderId="0" xfId="0" applyFont="1" applyFill="1" applyBorder="1" applyAlignment="1">
      <alignment vertical="center" wrapText="1"/>
    </xf>
    <xf numFmtId="0" fontId="0" fillId="0" borderId="0" xfId="0" applyFill="1" applyBorder="1" applyAlignment="1"/>
    <xf numFmtId="0" fontId="4" fillId="0" borderId="0" xfId="0" applyFont="1" applyFill="1" applyBorder="1" applyAlignment="1">
      <alignment vertical="center"/>
    </xf>
    <xf numFmtId="0" fontId="4" fillId="4" borderId="3" xfId="0" applyFont="1" applyFill="1" applyBorder="1" applyAlignment="1">
      <alignment horizontal="left" vertical="center"/>
    </xf>
    <xf numFmtId="0" fontId="4" fillId="4" borderId="3" xfId="0" applyFont="1" applyFill="1" applyBorder="1" applyAlignment="1">
      <alignment horizontal="center"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7B7B7"/>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6EFCE"/>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333375</xdr:colOff>
      <xdr:row>2</xdr:row>
      <xdr:rowOff>33020</xdr:rowOff>
    </xdr:from>
    <xdr:to>
      <xdr:col>20</xdr:col>
      <xdr:colOff>523875</xdr:colOff>
      <xdr:row>11</xdr:row>
      <xdr:rowOff>434340</xdr:rowOff>
    </xdr:to>
    <xdr:pic>
      <xdr:nvPicPr>
        <xdr:cNvPr id="3" name="Picture 2"/>
        <xdr:cNvPicPr>
          <a:picLocks noChangeAspect="1"/>
        </xdr:cNvPicPr>
      </xdr:nvPicPr>
      <xdr:blipFill>
        <a:blip r:embed="rId1"/>
        <a:stretch>
          <a:fillRect/>
        </a:stretch>
      </xdr:blipFill>
      <xdr:spPr>
        <a:xfrm>
          <a:off x="6836410" y="571500"/>
          <a:ext cx="8115300" cy="560832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4"/>
  <sheetViews>
    <sheetView showGridLines="0" topLeftCell="A41" workbookViewId="0">
      <selection activeCell="A11" sqref="A11:C11"/>
    </sheetView>
  </sheetViews>
  <sheetFormatPr defaultColWidth="8.68518518518519" defaultRowHeight="14.4" outlineLevelCol="2"/>
  <cols>
    <col min="1" max="1" width="10" customWidth="1"/>
    <col min="2" max="2" width="70" customWidth="1"/>
    <col min="3" max="3" width="10" customWidth="1"/>
  </cols>
  <sheetData>
    <row r="1" ht="17.4" spans="1:3">
      <c r="A1" s="18" t="s">
        <v>0</v>
      </c>
      <c r="B1" s="18"/>
      <c r="C1" s="18"/>
    </row>
    <row r="3" spans="1:3">
      <c r="A3" s="20" t="s">
        <v>1</v>
      </c>
      <c r="B3" s="20" t="s">
        <v>2</v>
      </c>
      <c r="C3" s="20" t="s">
        <v>3</v>
      </c>
    </row>
    <row r="4" spans="1:3">
      <c r="A4" s="41" t="s">
        <v>4</v>
      </c>
      <c r="B4" s="41"/>
      <c r="C4" s="41"/>
    </row>
    <row r="5" ht="39.6" spans="1:3">
      <c r="A5" s="24" t="s">
        <v>5</v>
      </c>
      <c r="B5" s="25" t="s">
        <v>6</v>
      </c>
      <c r="C5" s="24">
        <v>8</v>
      </c>
    </row>
    <row r="6" ht="26.4" spans="1:3">
      <c r="A6" s="24" t="s">
        <v>7</v>
      </c>
      <c r="B6" s="25" t="s">
        <v>8</v>
      </c>
      <c r="C6" s="24">
        <v>5</v>
      </c>
    </row>
    <row r="7" ht="26.4" spans="1:3">
      <c r="A7" s="24" t="s">
        <v>9</v>
      </c>
      <c r="B7" s="25" t="s">
        <v>10</v>
      </c>
      <c r="C7" s="24">
        <v>5</v>
      </c>
    </row>
    <row r="8" spans="1:3">
      <c r="A8" s="41" t="s">
        <v>11</v>
      </c>
      <c r="B8" s="41"/>
      <c r="C8" s="41"/>
    </row>
    <row r="9" ht="26.4" spans="1:3">
      <c r="A9" s="24" t="s">
        <v>12</v>
      </c>
      <c r="B9" s="25" t="s">
        <v>13</v>
      </c>
      <c r="C9" s="24">
        <v>3</v>
      </c>
    </row>
    <row r="10" ht="26.4" spans="1:3">
      <c r="A10" s="24" t="s">
        <v>14</v>
      </c>
      <c r="B10" s="25" t="s">
        <v>15</v>
      </c>
      <c r="C10" s="24">
        <v>5</v>
      </c>
    </row>
    <row r="11" spans="1:3">
      <c r="A11" s="41" t="s">
        <v>16</v>
      </c>
      <c r="B11" s="41"/>
      <c r="C11" s="41"/>
    </row>
    <row r="12" ht="26.4" spans="1:3">
      <c r="A12" s="24" t="s">
        <v>17</v>
      </c>
      <c r="B12" s="25" t="s">
        <v>18</v>
      </c>
      <c r="C12" s="24">
        <v>5</v>
      </c>
    </row>
    <row r="13" ht="26.4" spans="1:3">
      <c r="A13" s="24" t="s">
        <v>19</v>
      </c>
      <c r="B13" s="25" t="s">
        <v>20</v>
      </c>
      <c r="C13" s="24">
        <v>5</v>
      </c>
    </row>
    <row r="14" spans="1:3">
      <c r="A14" s="41" t="s">
        <v>21</v>
      </c>
      <c r="B14" s="41"/>
      <c r="C14" s="41"/>
    </row>
    <row r="15" spans="1:3">
      <c r="A15" s="24" t="s">
        <v>22</v>
      </c>
      <c r="B15" s="25" t="s">
        <v>23</v>
      </c>
      <c r="C15" s="24">
        <v>8</v>
      </c>
    </row>
    <row r="16" ht="26.4" spans="1:3">
      <c r="A16" s="24" t="s">
        <v>24</v>
      </c>
      <c r="B16" s="25" t="s">
        <v>25</v>
      </c>
      <c r="C16" s="24">
        <v>8</v>
      </c>
    </row>
    <row r="17" ht="26.4" spans="1:3">
      <c r="A17" s="24" t="s">
        <v>26</v>
      </c>
      <c r="B17" s="25" t="s">
        <v>27</v>
      </c>
      <c r="C17" s="24">
        <v>5</v>
      </c>
    </row>
    <row r="18" ht="26.4" spans="1:3">
      <c r="A18" s="24" t="s">
        <v>28</v>
      </c>
      <c r="B18" s="25" t="s">
        <v>29</v>
      </c>
      <c r="C18" s="24">
        <v>5</v>
      </c>
    </row>
    <row r="19" spans="1:3">
      <c r="A19" s="41" t="s">
        <v>30</v>
      </c>
      <c r="B19" s="41"/>
      <c r="C19" s="41"/>
    </row>
    <row r="20" ht="26.4" spans="1:3">
      <c r="A20" s="24" t="s">
        <v>31</v>
      </c>
      <c r="B20" s="25" t="s">
        <v>32</v>
      </c>
      <c r="C20" s="24">
        <v>8</v>
      </c>
    </row>
    <row r="21" ht="26.4" spans="1:3">
      <c r="A21" s="24" t="s">
        <v>33</v>
      </c>
      <c r="B21" s="25" t="s">
        <v>34</v>
      </c>
      <c r="C21" s="24">
        <v>8</v>
      </c>
    </row>
    <row r="22" spans="1:3">
      <c r="A22" s="41" t="s">
        <v>35</v>
      </c>
      <c r="B22" s="41"/>
      <c r="C22" s="41"/>
    </row>
    <row r="23" ht="26.4" spans="1:3">
      <c r="A23" s="24" t="s">
        <v>36</v>
      </c>
      <c r="B23" s="25" t="s">
        <v>37</v>
      </c>
      <c r="C23" s="24">
        <v>5</v>
      </c>
    </row>
    <row r="24" ht="26.4" spans="1:3">
      <c r="A24" s="24" t="s">
        <v>38</v>
      </c>
      <c r="B24" s="25" t="s">
        <v>39</v>
      </c>
      <c r="C24" s="24">
        <v>8</v>
      </c>
    </row>
    <row r="25" ht="26.4" spans="1:3">
      <c r="A25" s="24" t="s">
        <v>40</v>
      </c>
      <c r="B25" s="25" t="s">
        <v>41</v>
      </c>
      <c r="C25" s="24">
        <v>8</v>
      </c>
    </row>
    <row r="26" ht="26.4" spans="1:3">
      <c r="A26" s="24" t="s">
        <v>42</v>
      </c>
      <c r="B26" s="25" t="s">
        <v>43</v>
      </c>
      <c r="C26" s="24">
        <v>5</v>
      </c>
    </row>
    <row r="27" spans="1:3">
      <c r="A27" s="41" t="s">
        <v>44</v>
      </c>
      <c r="B27" s="41"/>
      <c r="C27" s="41"/>
    </row>
    <row r="28" spans="1:3">
      <c r="A28" s="24" t="s">
        <v>45</v>
      </c>
      <c r="B28" s="25" t="s">
        <v>46</v>
      </c>
      <c r="C28" s="24">
        <v>5</v>
      </c>
    </row>
    <row r="29" ht="26.4" spans="1:3">
      <c r="A29" s="24" t="s">
        <v>47</v>
      </c>
      <c r="B29" s="25" t="s">
        <v>48</v>
      </c>
      <c r="C29" s="24">
        <v>5</v>
      </c>
    </row>
    <row r="30" ht="26.4" spans="1:3">
      <c r="A30" s="24" t="s">
        <v>49</v>
      </c>
      <c r="B30" s="25" t="s">
        <v>50</v>
      </c>
      <c r="C30" s="24">
        <v>8</v>
      </c>
    </row>
    <row r="31" spans="1:3">
      <c r="A31" s="41" t="s">
        <v>51</v>
      </c>
      <c r="B31" s="41"/>
      <c r="C31" s="41"/>
    </row>
    <row r="32" ht="26.4" spans="1:3">
      <c r="A32" s="24" t="s">
        <v>52</v>
      </c>
      <c r="B32" s="25" t="s">
        <v>53</v>
      </c>
      <c r="C32" s="24">
        <v>5</v>
      </c>
    </row>
    <row r="33" ht="26.4" spans="1:3">
      <c r="A33" s="24" t="s">
        <v>54</v>
      </c>
      <c r="B33" s="25" t="s">
        <v>55</v>
      </c>
      <c r="C33" s="24">
        <v>8</v>
      </c>
    </row>
    <row r="34" ht="26.4" spans="1:3">
      <c r="A34" s="24" t="s">
        <v>56</v>
      </c>
      <c r="B34" s="25" t="s">
        <v>57</v>
      </c>
      <c r="C34" s="24">
        <v>5</v>
      </c>
    </row>
    <row r="35" ht="26.4" spans="1:3">
      <c r="A35" s="24" t="s">
        <v>58</v>
      </c>
      <c r="B35" s="25" t="s">
        <v>59</v>
      </c>
      <c r="C35" s="24">
        <v>8</v>
      </c>
    </row>
    <row r="36" spans="1:3">
      <c r="A36" s="41" t="s">
        <v>60</v>
      </c>
      <c r="B36" s="41"/>
      <c r="C36" s="41"/>
    </row>
    <row r="37" ht="26.4" spans="1:3">
      <c r="A37" s="24" t="s">
        <v>61</v>
      </c>
      <c r="B37" s="25" t="s">
        <v>62</v>
      </c>
      <c r="C37" s="24">
        <v>8</v>
      </c>
    </row>
    <row r="38" ht="26.4" spans="1:3">
      <c r="A38" s="24" t="s">
        <v>63</v>
      </c>
      <c r="B38" s="25" t="s">
        <v>64</v>
      </c>
      <c r="C38" s="24">
        <v>5</v>
      </c>
    </row>
    <row r="39" ht="26.4" spans="1:3">
      <c r="A39" s="24" t="s">
        <v>65</v>
      </c>
      <c r="B39" s="25" t="s">
        <v>66</v>
      </c>
      <c r="C39" s="24">
        <v>5</v>
      </c>
    </row>
    <row r="40" ht="26.4" spans="1:3">
      <c r="A40" s="24" t="s">
        <v>67</v>
      </c>
      <c r="B40" s="25" t="s">
        <v>68</v>
      </c>
      <c r="C40" s="24">
        <v>5</v>
      </c>
    </row>
    <row r="41" spans="1:3">
      <c r="A41" s="41" t="s">
        <v>69</v>
      </c>
      <c r="B41" s="41"/>
      <c r="C41" s="41"/>
    </row>
    <row r="42" ht="39.6" spans="1:3">
      <c r="A42" s="24" t="s">
        <v>70</v>
      </c>
      <c r="B42" s="25" t="s">
        <v>71</v>
      </c>
      <c r="C42" s="24">
        <v>8</v>
      </c>
    </row>
    <row r="43" ht="39.6" spans="1:3">
      <c r="A43" s="24" t="s">
        <v>72</v>
      </c>
      <c r="B43" s="25" t="s">
        <v>73</v>
      </c>
      <c r="C43" s="24">
        <v>5</v>
      </c>
    </row>
    <row r="44" spans="1:3">
      <c r="A44" s="42" t="s">
        <v>74</v>
      </c>
      <c r="B44" s="42"/>
      <c r="C44" s="42">
        <f>SUM(C5:C43)</f>
        <v>184</v>
      </c>
    </row>
  </sheetData>
  <mergeCells count="12">
    <mergeCell ref="A1:C1"/>
    <mergeCell ref="A4:C4"/>
    <mergeCell ref="A8:C8"/>
    <mergeCell ref="A11:C11"/>
    <mergeCell ref="A14:C14"/>
    <mergeCell ref="A19:C19"/>
    <mergeCell ref="A22:C22"/>
    <mergeCell ref="A27:C27"/>
    <mergeCell ref="A31:C31"/>
    <mergeCell ref="A36:C36"/>
    <mergeCell ref="A41:C41"/>
    <mergeCell ref="A44:B44"/>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4"/>
  <sheetViews>
    <sheetView showGridLines="0" zoomScale="85" zoomScaleNormal="85" workbookViewId="0">
      <selection activeCell="J51" sqref="J51"/>
    </sheetView>
  </sheetViews>
  <sheetFormatPr defaultColWidth="8.68518518518519" defaultRowHeight="14.4"/>
  <cols>
    <col min="1" max="1" width="10" customWidth="1"/>
    <col min="2" max="2" width="55" customWidth="1"/>
    <col min="3" max="3" width="8" customWidth="1"/>
    <col min="4" max="4" width="16" customWidth="1"/>
    <col min="5" max="6" width="12" customWidth="1"/>
    <col min="7" max="8" width="14" customWidth="1"/>
    <col min="9" max="9" width="10" customWidth="1"/>
    <col min="10" max="10" width="22" customWidth="1"/>
  </cols>
  <sheetData>
    <row r="1" ht="17.4" spans="1:10">
      <c r="A1" s="18" t="s">
        <v>75</v>
      </c>
      <c r="B1" s="18"/>
      <c r="C1" s="18"/>
      <c r="D1" s="18"/>
      <c r="E1" s="18"/>
      <c r="F1" s="18"/>
      <c r="G1" s="18"/>
      <c r="H1" s="18"/>
      <c r="I1" s="18"/>
      <c r="J1" s="18"/>
    </row>
    <row r="2" ht="22.35" customHeight="1" spans="1:10">
      <c r="A2" s="19"/>
      <c r="B2" s="19"/>
      <c r="C2" s="19"/>
      <c r="D2" s="19"/>
      <c r="E2" s="19"/>
      <c r="F2" s="19"/>
      <c r="G2" s="19"/>
      <c r="H2" s="19"/>
      <c r="I2" s="19"/>
      <c r="J2" s="19"/>
    </row>
    <row r="4" spans="1:10">
      <c r="A4" s="20" t="s">
        <v>1</v>
      </c>
      <c r="B4" s="20" t="s">
        <v>2</v>
      </c>
      <c r="C4" s="20" t="s">
        <v>3</v>
      </c>
      <c r="D4" s="20" t="s">
        <v>76</v>
      </c>
      <c r="E4" s="20" t="s">
        <v>77</v>
      </c>
      <c r="F4" s="20" t="s">
        <v>78</v>
      </c>
      <c r="G4" s="20" t="s">
        <v>79</v>
      </c>
      <c r="H4" s="20" t="s">
        <v>80</v>
      </c>
      <c r="I4" s="20" t="s">
        <v>81</v>
      </c>
      <c r="J4" s="20" t="s">
        <v>82</v>
      </c>
    </row>
    <row r="5" spans="1:10">
      <c r="A5" s="21" t="s">
        <v>83</v>
      </c>
      <c r="B5" s="21"/>
      <c r="C5" s="22">
        <f>SUM(C6:C8)</f>
        <v>18</v>
      </c>
      <c r="D5" s="23"/>
      <c r="E5" s="23"/>
      <c r="F5" s="23"/>
      <c r="G5" s="23"/>
      <c r="H5" s="23"/>
      <c r="I5" s="23"/>
      <c r="J5" s="23"/>
    </row>
    <row r="6" ht="39.6" spans="1:10">
      <c r="A6" s="24" t="s">
        <v>5</v>
      </c>
      <c r="B6" s="25" t="s">
        <v>6</v>
      </c>
      <c r="C6" s="24">
        <v>8</v>
      </c>
      <c r="D6" s="26" t="s">
        <v>84</v>
      </c>
      <c r="E6" s="27">
        <v>46275</v>
      </c>
      <c r="F6" s="24" t="s">
        <v>85</v>
      </c>
      <c r="G6" s="28"/>
      <c r="H6" s="28"/>
      <c r="I6" s="28"/>
      <c r="J6" s="28"/>
    </row>
    <row r="7" ht="39.6" spans="1:10">
      <c r="A7" s="24" t="s">
        <v>7</v>
      </c>
      <c r="B7" s="25" t="s">
        <v>8</v>
      </c>
      <c r="C7" s="24">
        <v>5</v>
      </c>
      <c r="D7" s="26" t="s">
        <v>86</v>
      </c>
      <c r="E7" s="27">
        <v>46275</v>
      </c>
      <c r="F7" s="24" t="s">
        <v>85</v>
      </c>
      <c r="G7" s="28"/>
      <c r="H7" s="28"/>
      <c r="I7" s="28"/>
      <c r="J7" s="28"/>
    </row>
    <row r="8" ht="26.4" spans="1:10">
      <c r="A8" s="24" t="s">
        <v>9</v>
      </c>
      <c r="B8" s="25" t="s">
        <v>10</v>
      </c>
      <c r="C8" s="24">
        <v>5</v>
      </c>
      <c r="D8" s="26" t="s">
        <v>84</v>
      </c>
      <c r="E8" s="27">
        <v>46275</v>
      </c>
      <c r="F8" s="24" t="s">
        <v>85</v>
      </c>
      <c r="G8" s="28"/>
      <c r="H8" s="28"/>
      <c r="I8" s="28"/>
      <c r="J8" s="28"/>
    </row>
    <row r="9" spans="1:10">
      <c r="A9" s="21" t="s">
        <v>87</v>
      </c>
      <c r="B9" s="21"/>
      <c r="C9" s="22">
        <f>SUM(C10:C13)</f>
        <v>18</v>
      </c>
      <c r="D9" s="29"/>
      <c r="E9" s="23"/>
      <c r="F9" s="23"/>
      <c r="G9" s="23"/>
      <c r="H9" s="23"/>
      <c r="I9" s="23"/>
      <c r="J9" s="23"/>
    </row>
    <row r="10" ht="39.6" spans="1:10">
      <c r="A10" s="24" t="s">
        <v>12</v>
      </c>
      <c r="B10" s="25" t="s">
        <v>13</v>
      </c>
      <c r="C10" s="24">
        <v>3</v>
      </c>
      <c r="D10" s="26" t="s">
        <v>86</v>
      </c>
      <c r="E10" s="27">
        <v>46275</v>
      </c>
      <c r="F10" s="24" t="s">
        <v>88</v>
      </c>
      <c r="G10" s="28"/>
      <c r="H10" s="28"/>
      <c r="I10" s="28"/>
      <c r="J10" s="28"/>
    </row>
    <row r="11" ht="39.6" spans="1:10">
      <c r="A11" s="24" t="s">
        <v>14</v>
      </c>
      <c r="B11" s="25" t="s">
        <v>15</v>
      </c>
      <c r="C11" s="24">
        <v>5</v>
      </c>
      <c r="D11" s="26" t="s">
        <v>86</v>
      </c>
      <c r="E11" s="27">
        <v>46275</v>
      </c>
      <c r="F11" s="24" t="s">
        <v>88</v>
      </c>
      <c r="G11" s="28"/>
      <c r="H11" s="28"/>
      <c r="I11" s="28"/>
      <c r="J11" s="28"/>
    </row>
    <row r="12" ht="26.4" spans="1:10">
      <c r="A12" s="24" t="s">
        <v>17</v>
      </c>
      <c r="B12" s="25" t="s">
        <v>18</v>
      </c>
      <c r="C12" s="24">
        <v>5</v>
      </c>
      <c r="D12" s="26" t="s">
        <v>84</v>
      </c>
      <c r="E12" s="27">
        <v>46275</v>
      </c>
      <c r="F12" s="24" t="s">
        <v>88</v>
      </c>
      <c r="G12" s="28"/>
      <c r="H12" s="28"/>
      <c r="I12" s="28"/>
      <c r="J12" s="28"/>
    </row>
    <row r="13" ht="26.4" spans="1:10">
      <c r="A13" s="24" t="s">
        <v>19</v>
      </c>
      <c r="B13" s="25" t="s">
        <v>20</v>
      </c>
      <c r="C13" s="24">
        <v>5</v>
      </c>
      <c r="D13" s="26" t="s">
        <v>89</v>
      </c>
      <c r="E13" s="27">
        <v>46275</v>
      </c>
      <c r="F13" s="24" t="s">
        <v>88</v>
      </c>
      <c r="G13" s="28"/>
      <c r="H13" s="28"/>
      <c r="I13" s="28"/>
      <c r="J13" s="28"/>
    </row>
    <row r="14" spans="1:10">
      <c r="A14" s="21" t="s">
        <v>90</v>
      </c>
      <c r="B14" s="21"/>
      <c r="C14" s="22">
        <f>SUM(C15:C16)</f>
        <v>16</v>
      </c>
      <c r="D14" s="29"/>
      <c r="E14" s="23"/>
      <c r="F14" s="23"/>
      <c r="G14" s="23"/>
      <c r="H14" s="23"/>
      <c r="I14" s="23"/>
      <c r="J14" s="23"/>
    </row>
    <row r="15" ht="26.4" spans="1:10">
      <c r="A15" s="24" t="s">
        <v>22</v>
      </c>
      <c r="B15" s="25" t="s">
        <v>23</v>
      </c>
      <c r="C15" s="24">
        <v>8</v>
      </c>
      <c r="D15" s="26" t="s">
        <v>86</v>
      </c>
      <c r="E15" s="27">
        <v>46275</v>
      </c>
      <c r="F15" s="24" t="s">
        <v>91</v>
      </c>
      <c r="G15" s="28"/>
      <c r="H15" s="28"/>
      <c r="I15" s="28"/>
      <c r="J15" s="28"/>
    </row>
    <row r="16" ht="26.4" spans="1:10">
      <c r="A16" s="24" t="s">
        <v>24</v>
      </c>
      <c r="B16" s="25" t="s">
        <v>25</v>
      </c>
      <c r="C16" s="24">
        <v>8</v>
      </c>
      <c r="D16" s="26" t="s">
        <v>89</v>
      </c>
      <c r="E16" s="27">
        <v>46275</v>
      </c>
      <c r="F16" s="24" t="s">
        <v>91</v>
      </c>
      <c r="G16" s="28"/>
      <c r="H16" s="28"/>
      <c r="I16" s="28"/>
      <c r="J16" s="28"/>
    </row>
    <row r="17" spans="1:10">
      <c r="A17" s="21" t="s">
        <v>92</v>
      </c>
      <c r="B17" s="21"/>
      <c r="C17" s="22">
        <f>SUM(C18:C20)</f>
        <v>18</v>
      </c>
      <c r="D17" s="29"/>
      <c r="E17" s="23"/>
      <c r="F17" s="23"/>
      <c r="G17" s="23"/>
      <c r="H17" s="23"/>
      <c r="I17" s="23"/>
      <c r="J17" s="23"/>
    </row>
    <row r="18" ht="26.4" spans="1:10">
      <c r="A18" s="24" t="s">
        <v>26</v>
      </c>
      <c r="B18" s="25" t="s">
        <v>27</v>
      </c>
      <c r="C18" s="24">
        <v>5</v>
      </c>
      <c r="D18" s="26" t="s">
        <v>84</v>
      </c>
      <c r="E18" s="27">
        <v>46282</v>
      </c>
      <c r="F18" s="24" t="s">
        <v>93</v>
      </c>
      <c r="G18" s="28"/>
      <c r="H18" s="28"/>
      <c r="I18" s="28"/>
      <c r="J18" s="28"/>
    </row>
    <row r="19" ht="26.4" spans="1:10">
      <c r="A19" s="24" t="s">
        <v>28</v>
      </c>
      <c r="B19" s="25" t="s">
        <v>29</v>
      </c>
      <c r="C19" s="24">
        <v>5</v>
      </c>
      <c r="D19" s="26" t="s">
        <v>86</v>
      </c>
      <c r="E19" s="27">
        <v>46282</v>
      </c>
      <c r="F19" s="24" t="s">
        <v>93</v>
      </c>
      <c r="G19" s="28"/>
      <c r="H19" s="28"/>
      <c r="I19" s="28"/>
      <c r="J19" s="28"/>
    </row>
    <row r="20" ht="39.6" spans="1:10">
      <c r="A20" s="24" t="s">
        <v>31</v>
      </c>
      <c r="B20" s="25" t="s">
        <v>32</v>
      </c>
      <c r="C20" s="24">
        <v>8</v>
      </c>
      <c r="D20" s="26" t="s">
        <v>86</v>
      </c>
      <c r="E20" s="27">
        <v>46282</v>
      </c>
      <c r="F20" s="24" t="s">
        <v>93</v>
      </c>
      <c r="G20" s="28"/>
      <c r="H20" s="28"/>
      <c r="I20" s="28"/>
      <c r="J20" s="28"/>
    </row>
    <row r="21" spans="1:10">
      <c r="A21" s="21" t="s">
        <v>94</v>
      </c>
      <c r="B21" s="21"/>
      <c r="C21" s="22">
        <f>SUM(C22:C23)</f>
        <v>13</v>
      </c>
      <c r="D21" s="29"/>
      <c r="E21" s="23"/>
      <c r="F21" s="23"/>
      <c r="G21" s="23"/>
      <c r="H21" s="23"/>
      <c r="I21" s="23"/>
      <c r="J21" s="23"/>
    </row>
    <row r="22" ht="39.6" spans="1:10">
      <c r="A22" s="24" t="s">
        <v>33</v>
      </c>
      <c r="B22" s="25" t="s">
        <v>34</v>
      </c>
      <c r="C22" s="24">
        <v>8</v>
      </c>
      <c r="D22" s="26" t="s">
        <v>89</v>
      </c>
      <c r="E22" s="27">
        <v>46282</v>
      </c>
      <c r="F22" s="24" t="s">
        <v>95</v>
      </c>
      <c r="G22" s="28"/>
      <c r="H22" s="28"/>
      <c r="I22" s="28"/>
      <c r="J22" s="28"/>
    </row>
    <row r="23" ht="26.4" spans="1:10">
      <c r="A23" s="24" t="s">
        <v>36</v>
      </c>
      <c r="B23" s="25" t="s">
        <v>37</v>
      </c>
      <c r="C23" s="24">
        <v>5</v>
      </c>
      <c r="D23" s="26" t="s">
        <v>84</v>
      </c>
      <c r="E23" s="27">
        <v>46282</v>
      </c>
      <c r="F23" s="24" t="s">
        <v>95</v>
      </c>
      <c r="G23" s="28"/>
      <c r="H23" s="28"/>
      <c r="I23" s="28"/>
      <c r="J23" s="28"/>
    </row>
    <row r="24" spans="1:10">
      <c r="A24" s="21" t="s">
        <v>96</v>
      </c>
      <c r="B24" s="21"/>
      <c r="C24" s="22">
        <f>SUM(C25:C26)</f>
        <v>16</v>
      </c>
      <c r="D24" s="29"/>
      <c r="E24" s="23"/>
      <c r="F24" s="23"/>
      <c r="G24" s="23"/>
      <c r="H24" s="23"/>
      <c r="I24" s="23"/>
      <c r="J24" s="23"/>
    </row>
    <row r="25" ht="26.4" spans="1:10">
      <c r="A25" s="24" t="s">
        <v>38</v>
      </c>
      <c r="B25" s="25" t="s">
        <v>39</v>
      </c>
      <c r="C25" s="24">
        <v>8</v>
      </c>
      <c r="D25" s="26" t="s">
        <v>84</v>
      </c>
      <c r="E25" s="24" t="s">
        <v>97</v>
      </c>
      <c r="F25" s="24" t="s">
        <v>98</v>
      </c>
      <c r="G25" s="28"/>
      <c r="H25" s="28"/>
      <c r="I25" s="28"/>
      <c r="J25" s="28"/>
    </row>
    <row r="26" ht="39.6" spans="1:10">
      <c r="A26" s="24" t="s">
        <v>40</v>
      </c>
      <c r="B26" s="25" t="s">
        <v>41</v>
      </c>
      <c r="C26" s="24">
        <v>8</v>
      </c>
      <c r="D26" s="26" t="s">
        <v>89</v>
      </c>
      <c r="E26" s="24" t="s">
        <v>97</v>
      </c>
      <c r="F26" s="24" t="s">
        <v>98</v>
      </c>
      <c r="G26" s="28"/>
      <c r="H26" s="28"/>
      <c r="I26" s="28"/>
      <c r="J26" s="28"/>
    </row>
    <row r="27" spans="1:10">
      <c r="A27" s="21" t="s">
        <v>99</v>
      </c>
      <c r="B27" s="21"/>
      <c r="C27" s="22">
        <f>SUM(C28:C30)</f>
        <v>15</v>
      </c>
      <c r="D27" s="29"/>
      <c r="E27" s="23"/>
      <c r="F27" s="23"/>
      <c r="G27" s="23"/>
      <c r="H27" s="23"/>
      <c r="I27" s="23"/>
      <c r="J27" s="23"/>
    </row>
    <row r="28" ht="39.6" spans="1:10">
      <c r="A28" s="24" t="s">
        <v>42</v>
      </c>
      <c r="B28" s="25" t="s">
        <v>43</v>
      </c>
      <c r="C28" s="24">
        <v>5</v>
      </c>
      <c r="D28" s="26" t="s">
        <v>100</v>
      </c>
      <c r="E28" s="24" t="s">
        <v>101</v>
      </c>
      <c r="F28" s="24" t="s">
        <v>102</v>
      </c>
      <c r="G28" s="28"/>
      <c r="H28" s="28"/>
      <c r="I28" s="28"/>
      <c r="J28" s="28"/>
    </row>
    <row r="29" ht="26.4" spans="1:10">
      <c r="A29" s="24" t="s">
        <v>45</v>
      </c>
      <c r="B29" s="25" t="s">
        <v>46</v>
      </c>
      <c r="C29" s="24">
        <v>5</v>
      </c>
      <c r="D29" s="26" t="s">
        <v>100</v>
      </c>
      <c r="E29" s="24" t="s">
        <v>101</v>
      </c>
      <c r="F29" s="24" t="s">
        <v>102</v>
      </c>
      <c r="G29" s="28"/>
      <c r="H29" s="28"/>
      <c r="I29" s="28"/>
      <c r="J29" s="28"/>
    </row>
    <row r="30" ht="26.4" spans="1:10">
      <c r="A30" s="24" t="s">
        <v>47</v>
      </c>
      <c r="B30" s="25" t="s">
        <v>48</v>
      </c>
      <c r="C30" s="24">
        <v>5</v>
      </c>
      <c r="D30" s="26" t="s">
        <v>103</v>
      </c>
      <c r="E30" s="24" t="s">
        <v>101</v>
      </c>
      <c r="F30" s="24" t="s">
        <v>102</v>
      </c>
      <c r="G30" s="28"/>
      <c r="H30" s="28"/>
      <c r="I30" s="28"/>
      <c r="J30" s="28"/>
    </row>
    <row r="31" spans="1:10">
      <c r="A31" s="21" t="s">
        <v>104</v>
      </c>
      <c r="B31" s="21"/>
      <c r="C31" s="22">
        <f>SUM(C32:C33)</f>
        <v>13</v>
      </c>
      <c r="D31" s="29"/>
      <c r="E31" s="23"/>
      <c r="F31" s="23"/>
      <c r="G31" s="23"/>
      <c r="H31" s="23"/>
      <c r="I31" s="23"/>
      <c r="J31" s="23"/>
    </row>
    <row r="32" ht="26.4" spans="1:10">
      <c r="A32" s="24" t="s">
        <v>49</v>
      </c>
      <c r="B32" s="25" t="s">
        <v>50</v>
      </c>
      <c r="C32" s="24">
        <v>8</v>
      </c>
      <c r="D32" s="26" t="s">
        <v>103</v>
      </c>
      <c r="E32" s="24" t="s">
        <v>105</v>
      </c>
      <c r="F32" s="24" t="s">
        <v>106</v>
      </c>
      <c r="G32" s="28"/>
      <c r="H32" s="28"/>
      <c r="I32" s="28"/>
      <c r="J32" s="28"/>
    </row>
    <row r="33" ht="26.4" spans="1:10">
      <c r="A33" s="24" t="s">
        <v>52</v>
      </c>
      <c r="B33" s="25" t="s">
        <v>53</v>
      </c>
      <c r="C33" s="24">
        <v>5</v>
      </c>
      <c r="D33" s="26" t="s">
        <v>103</v>
      </c>
      <c r="E33" s="24" t="s">
        <v>105</v>
      </c>
      <c r="F33" s="24" t="s">
        <v>106</v>
      </c>
      <c r="G33" s="28"/>
      <c r="H33" s="28"/>
      <c r="I33" s="28"/>
      <c r="J33" s="28"/>
    </row>
    <row r="34" spans="1:10">
      <c r="A34" s="21" t="s">
        <v>107</v>
      </c>
      <c r="B34" s="21"/>
      <c r="C34" s="22">
        <f>SUM(C35:C36)</f>
        <v>13</v>
      </c>
      <c r="D34" s="29"/>
      <c r="E34" s="23"/>
      <c r="F34" s="23"/>
      <c r="G34" s="23"/>
      <c r="H34" s="23"/>
      <c r="I34" s="23"/>
      <c r="J34" s="23"/>
    </row>
    <row r="35" ht="39.6" spans="1:10">
      <c r="A35" s="24" t="s">
        <v>54</v>
      </c>
      <c r="B35" s="25" t="s">
        <v>55</v>
      </c>
      <c r="C35" s="24">
        <v>8</v>
      </c>
      <c r="D35" s="26" t="s">
        <v>103</v>
      </c>
      <c r="E35" s="24" t="s">
        <v>108</v>
      </c>
      <c r="F35" s="24" t="s">
        <v>109</v>
      </c>
      <c r="G35" s="28"/>
      <c r="H35" s="28"/>
      <c r="I35" s="28"/>
      <c r="J35" s="28"/>
    </row>
    <row r="36" ht="26.4" spans="1:10">
      <c r="A36" s="24" t="s">
        <v>56</v>
      </c>
      <c r="B36" s="25" t="s">
        <v>57</v>
      </c>
      <c r="C36" s="24">
        <v>5</v>
      </c>
      <c r="D36" s="26" t="s">
        <v>100</v>
      </c>
      <c r="E36" s="24" t="s">
        <v>108</v>
      </c>
      <c r="F36" s="24" t="s">
        <v>109</v>
      </c>
      <c r="G36" s="28"/>
      <c r="H36" s="28"/>
      <c r="I36" s="28"/>
      <c r="J36" s="28"/>
    </row>
    <row r="37" spans="1:10">
      <c r="A37" s="21" t="s">
        <v>110</v>
      </c>
      <c r="B37" s="21"/>
      <c r="C37" s="22">
        <f>SUM(C38:C39)</f>
        <v>16</v>
      </c>
      <c r="D37" s="29"/>
      <c r="E37" s="23"/>
      <c r="F37" s="23"/>
      <c r="G37" s="23"/>
      <c r="H37" s="23"/>
      <c r="I37" s="23"/>
      <c r="J37" s="23"/>
    </row>
    <row r="38" ht="39.6" spans="1:10">
      <c r="A38" s="24" t="s">
        <v>58</v>
      </c>
      <c r="B38" s="25" t="s">
        <v>59</v>
      </c>
      <c r="C38" s="24">
        <v>8</v>
      </c>
      <c r="D38" s="26" t="s">
        <v>103</v>
      </c>
      <c r="E38" s="24" t="s">
        <v>111</v>
      </c>
      <c r="F38" s="24" t="s">
        <v>112</v>
      </c>
      <c r="G38" s="28"/>
      <c r="H38" s="28"/>
      <c r="I38" s="28"/>
      <c r="J38" s="28"/>
    </row>
    <row r="39" ht="39.6" spans="1:10">
      <c r="A39" s="24" t="s">
        <v>61</v>
      </c>
      <c r="B39" s="25" t="s">
        <v>62</v>
      </c>
      <c r="C39" s="24">
        <v>8</v>
      </c>
      <c r="D39" s="26" t="s">
        <v>89</v>
      </c>
      <c r="E39" s="24" t="s">
        <v>111</v>
      </c>
      <c r="F39" s="24" t="s">
        <v>112</v>
      </c>
      <c r="G39" s="28"/>
      <c r="H39" s="28"/>
      <c r="I39" s="28"/>
      <c r="J39" s="28"/>
    </row>
    <row r="40" spans="1:10">
      <c r="A40" s="21" t="s">
        <v>113</v>
      </c>
      <c r="B40" s="21"/>
      <c r="C40" s="22">
        <f>SUM(C41:C43)</f>
        <v>15</v>
      </c>
      <c r="D40" s="29"/>
      <c r="E40" s="23"/>
      <c r="F40" s="23"/>
      <c r="G40" s="23"/>
      <c r="H40" s="23"/>
      <c r="I40" s="23"/>
      <c r="J40" s="23"/>
    </row>
    <row r="41" ht="39.6" spans="1:10">
      <c r="A41" s="24" t="s">
        <v>63</v>
      </c>
      <c r="B41" s="25" t="s">
        <v>64</v>
      </c>
      <c r="C41" s="24">
        <v>5</v>
      </c>
      <c r="D41" s="26" t="s">
        <v>89</v>
      </c>
      <c r="E41" s="24" t="s">
        <v>114</v>
      </c>
      <c r="F41" s="24" t="s">
        <v>115</v>
      </c>
      <c r="G41" s="28"/>
      <c r="H41" s="28"/>
      <c r="I41" s="28"/>
      <c r="J41" s="28"/>
    </row>
    <row r="42" ht="26.4" spans="1:10">
      <c r="A42" s="24" t="s">
        <v>65</v>
      </c>
      <c r="B42" s="25" t="s">
        <v>66</v>
      </c>
      <c r="C42" s="24">
        <v>5</v>
      </c>
      <c r="D42" s="26" t="s">
        <v>103</v>
      </c>
      <c r="E42" s="24" t="s">
        <v>114</v>
      </c>
      <c r="F42" s="24" t="s">
        <v>115</v>
      </c>
      <c r="G42" s="28"/>
      <c r="H42" s="28"/>
      <c r="I42" s="28"/>
      <c r="J42" s="28"/>
    </row>
    <row r="43" ht="26.4" spans="1:10">
      <c r="A43" s="24" t="s">
        <v>67</v>
      </c>
      <c r="B43" s="25" t="s">
        <v>68</v>
      </c>
      <c r="C43" s="24">
        <v>5</v>
      </c>
      <c r="D43" s="26" t="s">
        <v>100</v>
      </c>
      <c r="E43" s="24" t="s">
        <v>114</v>
      </c>
      <c r="F43" s="24" t="s">
        <v>115</v>
      </c>
      <c r="G43" s="28"/>
      <c r="H43" s="28"/>
      <c r="I43" s="28"/>
      <c r="J43" s="28"/>
    </row>
    <row r="44" spans="1:10">
      <c r="A44" s="21" t="s">
        <v>116</v>
      </c>
      <c r="B44" s="21"/>
      <c r="C44" s="22">
        <f>SUM(C45:C46)</f>
        <v>13</v>
      </c>
      <c r="D44" s="29"/>
      <c r="E44" s="23"/>
      <c r="F44" s="23"/>
      <c r="G44" s="23"/>
      <c r="H44" s="23"/>
      <c r="I44" s="23"/>
      <c r="J44" s="23"/>
    </row>
    <row r="45" ht="39.6" spans="1:10">
      <c r="A45" s="24" t="s">
        <v>70</v>
      </c>
      <c r="B45" s="25" t="s">
        <v>71</v>
      </c>
      <c r="C45" s="24">
        <v>8</v>
      </c>
      <c r="D45" s="26" t="s">
        <v>100</v>
      </c>
      <c r="E45" s="24" t="s">
        <v>117</v>
      </c>
      <c r="F45" s="24" t="s">
        <v>118</v>
      </c>
      <c r="G45" s="28"/>
      <c r="H45" s="28"/>
      <c r="I45" s="28"/>
      <c r="J45" s="28"/>
    </row>
    <row r="46" ht="39.6" spans="1:10">
      <c r="A46" s="24" t="s">
        <v>72</v>
      </c>
      <c r="B46" s="25" t="s">
        <v>73</v>
      </c>
      <c r="C46" s="24">
        <v>5</v>
      </c>
      <c r="D46" s="26" t="s">
        <v>100</v>
      </c>
      <c r="E46" s="24" t="s">
        <v>117</v>
      </c>
      <c r="F46" s="24" t="s">
        <v>118</v>
      </c>
      <c r="G46" s="28"/>
      <c r="H46" s="28"/>
      <c r="I46" s="28"/>
      <c r="J46" s="28"/>
    </row>
    <row r="47" spans="1:10">
      <c r="A47" s="30" t="s">
        <v>119</v>
      </c>
      <c r="B47" s="30"/>
      <c r="C47" s="31">
        <f>SUM(C6,C7,C8,C10,C11,C12,C13,C15,C16,C18,C19,C20,C22,C23,C25,C26,C28,C29,C30,C32,C33,C35,C36,C38,C39,C41,C42,C43,C45,C46)</f>
        <v>184</v>
      </c>
      <c r="D47" s="28"/>
      <c r="E47" s="28"/>
      <c r="F47" s="28"/>
      <c r="G47" s="28"/>
      <c r="H47" s="28"/>
      <c r="I47" s="28"/>
      <c r="J47" s="28"/>
    </row>
    <row r="50" ht="25.8" spans="2:2">
      <c r="B50" s="32"/>
    </row>
    <row r="51" spans="1:10">
      <c r="A51" s="33"/>
      <c r="B51" s="33"/>
      <c r="C51" s="33"/>
      <c r="D51" s="33"/>
      <c r="E51" s="33"/>
      <c r="F51" s="33"/>
      <c r="G51" s="33"/>
      <c r="H51" s="33"/>
      <c r="I51" s="33"/>
      <c r="J51" s="33"/>
    </row>
    <row r="52" spans="1:10">
      <c r="A52" s="34"/>
      <c r="B52" s="34"/>
      <c r="C52" s="35"/>
      <c r="D52" s="36"/>
      <c r="E52" s="36"/>
      <c r="F52" s="36"/>
      <c r="G52" s="36"/>
      <c r="H52" s="36"/>
      <c r="I52" s="36"/>
      <c r="J52" s="36"/>
    </row>
    <row r="53" spans="1:10">
      <c r="A53" s="37"/>
      <c r="B53" s="38"/>
      <c r="C53" s="37"/>
      <c r="D53" s="39"/>
      <c r="E53" s="37"/>
      <c r="F53" s="37"/>
      <c r="G53" s="39"/>
      <c r="H53" s="39"/>
      <c r="I53" s="39"/>
      <c r="J53" s="39"/>
    </row>
    <row r="54" spans="1:10">
      <c r="A54" s="37"/>
      <c r="B54" s="38"/>
      <c r="C54" s="37"/>
      <c r="D54" s="39"/>
      <c r="E54" s="37"/>
      <c r="F54" s="37"/>
      <c r="G54" s="39"/>
      <c r="H54" s="39"/>
      <c r="I54" s="39"/>
      <c r="J54" s="39"/>
    </row>
    <row r="55" spans="1:10">
      <c r="A55" s="37"/>
      <c r="B55" s="38"/>
      <c r="C55" s="37"/>
      <c r="D55" s="39"/>
      <c r="E55" s="37"/>
      <c r="F55" s="37"/>
      <c r="G55" s="39"/>
      <c r="H55" s="39"/>
      <c r="I55" s="39"/>
      <c r="J55" s="39"/>
    </row>
    <row r="56" spans="1:10">
      <c r="A56" s="34"/>
      <c r="B56" s="34"/>
      <c r="C56" s="35"/>
      <c r="D56" s="36"/>
      <c r="E56" s="36"/>
      <c r="F56" s="36"/>
      <c r="G56" s="36"/>
      <c r="H56" s="36"/>
      <c r="I56" s="36"/>
      <c r="J56" s="36"/>
    </row>
    <row r="57" spans="1:10">
      <c r="A57" s="37"/>
      <c r="B57" s="38"/>
      <c r="C57" s="37"/>
      <c r="D57" s="39"/>
      <c r="E57" s="37"/>
      <c r="F57" s="37"/>
      <c r="G57" s="39"/>
      <c r="H57" s="39"/>
      <c r="I57" s="39"/>
      <c r="J57" s="39"/>
    </row>
    <row r="58" spans="1:10">
      <c r="A58" s="37"/>
      <c r="B58" s="38"/>
      <c r="C58" s="37"/>
      <c r="D58" s="39"/>
      <c r="E58" s="37"/>
      <c r="F58" s="37"/>
      <c r="G58" s="39"/>
      <c r="H58" s="39"/>
      <c r="I58" s="39"/>
      <c r="J58" s="39"/>
    </row>
    <row r="59" spans="1:10">
      <c r="A59" s="37"/>
      <c r="B59" s="38"/>
      <c r="C59" s="37"/>
      <c r="D59" s="39"/>
      <c r="E59" s="37"/>
      <c r="F59" s="37"/>
      <c r="G59" s="39"/>
      <c r="H59" s="39"/>
      <c r="I59" s="39"/>
      <c r="J59" s="39"/>
    </row>
    <row r="60" spans="1:10">
      <c r="A60" s="37"/>
      <c r="B60" s="38"/>
      <c r="C60" s="37"/>
      <c r="D60" s="39"/>
      <c r="E60" s="37"/>
      <c r="F60" s="37"/>
      <c r="G60" s="39"/>
      <c r="H60" s="39"/>
      <c r="I60" s="39"/>
      <c r="J60" s="39"/>
    </row>
    <row r="61" spans="1:10">
      <c r="A61" s="34"/>
      <c r="B61" s="34"/>
      <c r="C61" s="35"/>
      <c r="D61" s="36"/>
      <c r="E61" s="36"/>
      <c r="F61" s="36"/>
      <c r="G61" s="36"/>
      <c r="H61" s="36"/>
      <c r="I61" s="36"/>
      <c r="J61" s="36"/>
    </row>
    <row r="62" spans="1:10">
      <c r="A62" s="37"/>
      <c r="B62" s="38"/>
      <c r="C62" s="37"/>
      <c r="D62" s="39"/>
      <c r="E62" s="37"/>
      <c r="F62" s="37"/>
      <c r="G62" s="39"/>
      <c r="H62" s="39"/>
      <c r="I62" s="39"/>
      <c r="J62" s="39"/>
    </row>
    <row r="63" spans="1:10">
      <c r="A63" s="37"/>
      <c r="B63" s="38"/>
      <c r="C63" s="37"/>
      <c r="D63" s="39"/>
      <c r="E63" s="37"/>
      <c r="F63" s="37"/>
      <c r="G63" s="39"/>
      <c r="H63" s="39"/>
      <c r="I63" s="39"/>
      <c r="J63" s="39"/>
    </row>
    <row r="64" spans="1:10">
      <c r="A64" s="34"/>
      <c r="B64" s="34"/>
      <c r="C64" s="35"/>
      <c r="D64" s="36"/>
      <c r="E64" s="36"/>
      <c r="F64" s="36"/>
      <c r="G64" s="36"/>
      <c r="H64" s="36"/>
      <c r="I64" s="36"/>
      <c r="J64" s="36"/>
    </row>
    <row r="65" spans="1:10">
      <c r="A65" s="37"/>
      <c r="B65" s="38"/>
      <c r="C65" s="37"/>
      <c r="D65" s="39"/>
      <c r="E65" s="37"/>
      <c r="F65" s="37"/>
      <c r="G65" s="39"/>
      <c r="H65" s="39"/>
      <c r="I65" s="39"/>
      <c r="J65" s="39"/>
    </row>
    <row r="66" spans="1:10">
      <c r="A66" s="37"/>
      <c r="B66" s="38"/>
      <c r="C66" s="37"/>
      <c r="D66" s="39"/>
      <c r="E66" s="37"/>
      <c r="F66" s="37"/>
      <c r="G66" s="39"/>
      <c r="H66" s="39"/>
      <c r="I66" s="39"/>
      <c r="J66" s="39"/>
    </row>
    <row r="67" spans="1:10">
      <c r="A67" s="37"/>
      <c r="B67" s="38"/>
      <c r="C67" s="37"/>
      <c r="D67" s="39"/>
      <c r="E67" s="37"/>
      <c r="F67" s="37"/>
      <c r="G67" s="39"/>
      <c r="H67" s="39"/>
      <c r="I67" s="39"/>
      <c r="J67" s="39"/>
    </row>
    <row r="68" spans="1:10">
      <c r="A68" s="34"/>
      <c r="B68" s="34"/>
      <c r="C68" s="35"/>
      <c r="D68" s="36"/>
      <c r="E68" s="36"/>
      <c r="F68" s="36"/>
      <c r="G68" s="36"/>
      <c r="H68" s="36"/>
      <c r="I68" s="36"/>
      <c r="J68" s="36"/>
    </row>
    <row r="69" spans="1:10">
      <c r="A69" s="37"/>
      <c r="B69" s="38"/>
      <c r="C69" s="37"/>
      <c r="D69" s="39"/>
      <c r="E69" s="37"/>
      <c r="F69" s="37"/>
      <c r="G69" s="39"/>
      <c r="H69" s="39"/>
      <c r="I69" s="39"/>
      <c r="J69" s="39"/>
    </row>
    <row r="70" spans="1:10">
      <c r="A70" s="37"/>
      <c r="B70" s="38"/>
      <c r="C70" s="37"/>
      <c r="D70" s="39"/>
      <c r="E70" s="37"/>
      <c r="F70" s="37"/>
      <c r="G70" s="39"/>
      <c r="H70" s="39"/>
      <c r="I70" s="39"/>
      <c r="J70" s="39"/>
    </row>
    <row r="71" spans="1:10">
      <c r="A71" s="34"/>
      <c r="B71" s="34"/>
      <c r="C71" s="35"/>
      <c r="D71" s="36"/>
      <c r="E71" s="36"/>
      <c r="F71" s="36"/>
      <c r="G71" s="36"/>
      <c r="H71" s="36"/>
      <c r="I71" s="36"/>
      <c r="J71" s="36"/>
    </row>
    <row r="72" spans="1:10">
      <c r="A72" s="37"/>
      <c r="B72" s="38"/>
      <c r="C72" s="37"/>
      <c r="D72" s="39"/>
      <c r="E72" s="37"/>
      <c r="F72" s="37"/>
      <c r="G72" s="39"/>
      <c r="H72" s="39"/>
      <c r="I72" s="39"/>
      <c r="J72" s="39"/>
    </row>
    <row r="73" spans="1:10">
      <c r="A73" s="37"/>
      <c r="B73" s="38"/>
      <c r="C73" s="37"/>
      <c r="D73" s="39"/>
      <c r="E73" s="37"/>
      <c r="F73" s="37"/>
      <c r="G73" s="39"/>
      <c r="H73" s="39"/>
      <c r="I73" s="39"/>
      <c r="J73" s="39"/>
    </row>
    <row r="74" spans="1:10">
      <c r="A74" s="34"/>
      <c r="B74" s="34"/>
      <c r="C74" s="35"/>
      <c r="D74" s="36"/>
      <c r="E74" s="36"/>
      <c r="F74" s="36"/>
      <c r="G74" s="36"/>
      <c r="H74" s="36"/>
      <c r="I74" s="36"/>
      <c r="J74" s="36"/>
    </row>
    <row r="75" spans="1:10">
      <c r="A75" s="37"/>
      <c r="B75" s="38"/>
      <c r="C75" s="37"/>
      <c r="D75" s="39"/>
      <c r="E75" s="37"/>
      <c r="F75" s="37"/>
      <c r="G75" s="39"/>
      <c r="H75" s="39"/>
      <c r="I75" s="39"/>
      <c r="J75" s="39"/>
    </row>
    <row r="76" spans="1:10">
      <c r="A76" s="37"/>
      <c r="B76" s="38"/>
      <c r="C76" s="37"/>
      <c r="D76" s="39"/>
      <c r="E76" s="37"/>
      <c r="F76" s="37"/>
      <c r="G76" s="39"/>
      <c r="H76" s="39"/>
      <c r="I76" s="39"/>
      <c r="J76" s="39"/>
    </row>
    <row r="77" spans="1:10">
      <c r="A77" s="37"/>
      <c r="B77" s="38"/>
      <c r="C77" s="37"/>
      <c r="D77" s="39"/>
      <c r="E77" s="37"/>
      <c r="F77" s="37"/>
      <c r="G77" s="39"/>
      <c r="H77" s="39"/>
      <c r="I77" s="39"/>
      <c r="J77" s="39"/>
    </row>
    <row r="78" spans="1:10">
      <c r="A78" s="34"/>
      <c r="B78" s="34"/>
      <c r="C78" s="35"/>
      <c r="D78" s="36"/>
      <c r="E78" s="36"/>
      <c r="F78" s="36"/>
      <c r="G78" s="36"/>
      <c r="H78" s="36"/>
      <c r="I78" s="36"/>
      <c r="J78" s="36"/>
    </row>
    <row r="79" spans="1:10">
      <c r="A79" s="37"/>
      <c r="B79" s="38"/>
      <c r="C79" s="37"/>
      <c r="D79" s="39"/>
      <c r="E79" s="37"/>
      <c r="F79" s="37"/>
      <c r="G79" s="39"/>
      <c r="H79" s="39"/>
      <c r="I79" s="39"/>
      <c r="J79" s="39"/>
    </row>
    <row r="80" spans="1:10">
      <c r="A80" s="37"/>
      <c r="B80" s="38"/>
      <c r="C80" s="37"/>
      <c r="D80" s="39"/>
      <c r="E80" s="37"/>
      <c r="F80" s="37"/>
      <c r="G80" s="39"/>
      <c r="H80" s="39"/>
      <c r="I80" s="39"/>
      <c r="J80" s="39"/>
    </row>
    <row r="81" spans="1:10">
      <c r="A81" s="34"/>
      <c r="B81" s="34"/>
      <c r="C81" s="35"/>
      <c r="D81" s="36"/>
      <c r="E81" s="36"/>
      <c r="F81" s="36"/>
      <c r="G81" s="36"/>
      <c r="H81" s="36"/>
      <c r="I81" s="36"/>
      <c r="J81" s="36"/>
    </row>
    <row r="82" spans="1:10">
      <c r="A82" s="37"/>
      <c r="B82" s="38"/>
      <c r="C82" s="37"/>
      <c r="D82" s="39"/>
      <c r="E82" s="37"/>
      <c r="F82" s="37"/>
      <c r="G82" s="39"/>
      <c r="H82" s="39"/>
      <c r="I82" s="39"/>
      <c r="J82" s="39"/>
    </row>
    <row r="83" spans="1:10">
      <c r="A83" s="37"/>
      <c r="B83" s="38"/>
      <c r="C83" s="37"/>
      <c r="D83" s="39"/>
      <c r="E83" s="37"/>
      <c r="F83" s="37"/>
      <c r="G83" s="39"/>
      <c r="H83" s="39"/>
      <c r="I83" s="39"/>
      <c r="J83" s="39"/>
    </row>
    <row r="84" spans="1:10">
      <c r="A84" s="34"/>
      <c r="B84" s="34"/>
      <c r="C84" s="35"/>
      <c r="D84" s="36"/>
      <c r="E84" s="36"/>
      <c r="F84" s="36"/>
      <c r="G84" s="36"/>
      <c r="H84" s="36"/>
      <c r="I84" s="36"/>
      <c r="J84" s="36"/>
    </row>
    <row r="85" spans="1:10">
      <c r="A85" s="37"/>
      <c r="B85" s="38"/>
      <c r="C85" s="37"/>
      <c r="D85" s="39"/>
      <c r="E85" s="37"/>
      <c r="F85" s="37"/>
      <c r="G85" s="39"/>
      <c r="H85" s="39"/>
      <c r="I85" s="39"/>
      <c r="J85" s="39"/>
    </row>
    <row r="86" spans="1:10">
      <c r="A86" s="37"/>
      <c r="B86" s="38"/>
      <c r="C86" s="37"/>
      <c r="D86" s="39"/>
      <c r="E86" s="37"/>
      <c r="F86" s="37"/>
      <c r="G86" s="39"/>
      <c r="H86" s="39"/>
      <c r="I86" s="39"/>
      <c r="J86" s="39"/>
    </row>
    <row r="87" spans="1:10">
      <c r="A87" s="34"/>
      <c r="B87" s="34"/>
      <c r="C87" s="35"/>
      <c r="D87" s="36"/>
      <c r="E87" s="36"/>
      <c r="F87" s="36"/>
      <c r="G87" s="36"/>
      <c r="H87" s="36"/>
      <c r="I87" s="36"/>
      <c r="J87" s="36"/>
    </row>
    <row r="88" spans="1:10">
      <c r="A88" s="37"/>
      <c r="B88" s="38"/>
      <c r="C88" s="37"/>
      <c r="D88" s="39"/>
      <c r="E88" s="37"/>
      <c r="F88" s="37"/>
      <c r="G88" s="39"/>
      <c r="H88" s="39"/>
      <c r="I88" s="39"/>
      <c r="J88" s="39"/>
    </row>
    <row r="89" spans="1:10">
      <c r="A89" s="37"/>
      <c r="B89" s="38"/>
      <c r="C89" s="37"/>
      <c r="D89" s="39"/>
      <c r="E89" s="37"/>
      <c r="F89" s="37"/>
      <c r="G89" s="39"/>
      <c r="H89" s="39"/>
      <c r="I89" s="39"/>
      <c r="J89" s="39"/>
    </row>
    <row r="90" spans="1:10">
      <c r="A90" s="37"/>
      <c r="B90" s="38"/>
      <c r="C90" s="37"/>
      <c r="D90" s="39"/>
      <c r="E90" s="37"/>
      <c r="F90" s="37"/>
      <c r="G90" s="39"/>
      <c r="H90" s="39"/>
      <c r="I90" s="39"/>
      <c r="J90" s="39"/>
    </row>
    <row r="91" spans="1:10">
      <c r="A91" s="34"/>
      <c r="B91" s="34"/>
      <c r="C91" s="35"/>
      <c r="D91" s="36"/>
      <c r="E91" s="36"/>
      <c r="F91" s="36"/>
      <c r="G91" s="36"/>
      <c r="H91" s="36"/>
      <c r="I91" s="36"/>
      <c r="J91" s="36"/>
    </row>
    <row r="92" spans="1:10">
      <c r="A92" s="37"/>
      <c r="B92" s="38"/>
      <c r="C92" s="37"/>
      <c r="D92" s="39"/>
      <c r="E92" s="37"/>
      <c r="F92" s="37"/>
      <c r="G92" s="39"/>
      <c r="H92" s="39"/>
      <c r="I92" s="39"/>
      <c r="J92" s="39"/>
    </row>
    <row r="93" spans="1:10">
      <c r="A93" s="37"/>
      <c r="B93" s="38"/>
      <c r="C93" s="37"/>
      <c r="D93" s="39"/>
      <c r="E93" s="37"/>
      <c r="F93" s="37"/>
      <c r="G93" s="39"/>
      <c r="H93" s="39"/>
      <c r="I93" s="39"/>
      <c r="J93" s="39"/>
    </row>
    <row r="94" spans="1:10">
      <c r="A94" s="34"/>
      <c r="B94" s="34"/>
      <c r="C94" s="40"/>
      <c r="D94" s="39"/>
      <c r="E94" s="39"/>
      <c r="F94" s="39"/>
      <c r="G94" s="39"/>
      <c r="H94" s="39"/>
      <c r="I94" s="39"/>
      <c r="J94" s="39"/>
    </row>
  </sheetData>
  <mergeCells count="15">
    <mergeCell ref="A1:J1"/>
    <mergeCell ref="A2:J2"/>
    <mergeCell ref="A5:B5"/>
    <mergeCell ref="A9:B9"/>
    <mergeCell ref="A14:B14"/>
    <mergeCell ref="A17:B17"/>
    <mergeCell ref="A21:B21"/>
    <mergeCell ref="A24:B24"/>
    <mergeCell ref="A27:B27"/>
    <mergeCell ref="A31:B31"/>
    <mergeCell ref="A34:B34"/>
    <mergeCell ref="A37:B37"/>
    <mergeCell ref="A40:B40"/>
    <mergeCell ref="A44:B44"/>
    <mergeCell ref="A47:B47"/>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19"/>
  <sheetViews>
    <sheetView showGridLines="0" workbookViewId="0">
      <selection activeCell="E39" sqref="E39"/>
    </sheetView>
  </sheetViews>
  <sheetFormatPr defaultColWidth="8.68518518518519" defaultRowHeight="14.4"/>
  <sheetData>
    <row r="2" spans="1:1">
      <c r="A2" s="16" t="s">
        <v>120</v>
      </c>
    </row>
    <row r="3" ht="15" customHeight="1" spans="1:12">
      <c r="A3" s="17" t="s">
        <v>121</v>
      </c>
      <c r="B3" s="17"/>
      <c r="C3" s="17"/>
      <c r="D3" s="17"/>
      <c r="E3" s="17"/>
      <c r="F3" s="17"/>
      <c r="G3" s="17"/>
      <c r="H3" s="17"/>
      <c r="I3" s="17"/>
      <c r="J3" s="17"/>
      <c r="K3" s="17"/>
      <c r="L3" s="17"/>
    </row>
    <row r="4" spans="1:12">
      <c r="A4" s="17"/>
      <c r="B4" s="17"/>
      <c r="C4" s="17"/>
      <c r="D4" s="17"/>
      <c r="E4" s="17"/>
      <c r="F4" s="17"/>
      <c r="G4" s="17"/>
      <c r="H4" s="17"/>
      <c r="I4" s="17"/>
      <c r="J4" s="17"/>
      <c r="K4" s="17"/>
      <c r="L4" s="17"/>
    </row>
    <row r="5" spans="1:12">
      <c r="A5" s="17"/>
      <c r="B5" s="17"/>
      <c r="C5" s="17"/>
      <c r="D5" s="17"/>
      <c r="E5" s="17"/>
      <c r="F5" s="17"/>
      <c r="G5" s="17"/>
      <c r="H5" s="17"/>
      <c r="I5" s="17"/>
      <c r="J5" s="17"/>
      <c r="K5" s="17"/>
      <c r="L5" s="17"/>
    </row>
    <row r="6" spans="1:12">
      <c r="A6" s="17"/>
      <c r="B6" s="17"/>
      <c r="C6" s="17"/>
      <c r="D6" s="17"/>
      <c r="E6" s="17"/>
      <c r="F6" s="17"/>
      <c r="G6" s="17"/>
      <c r="H6" s="17"/>
      <c r="I6" s="17"/>
      <c r="J6" s="17"/>
      <c r="K6" s="17"/>
      <c r="L6" s="17"/>
    </row>
    <row r="7" spans="1:12">
      <c r="A7" s="17"/>
      <c r="B7" s="17"/>
      <c r="C7" s="17"/>
      <c r="D7" s="17"/>
      <c r="E7" s="17"/>
      <c r="F7" s="17"/>
      <c r="G7" s="17"/>
      <c r="H7" s="17"/>
      <c r="I7" s="17"/>
      <c r="J7" s="17"/>
      <c r="K7" s="17"/>
      <c r="L7" s="17"/>
    </row>
    <row r="8" spans="1:12">
      <c r="A8" s="17"/>
      <c r="B8" s="17"/>
      <c r="C8" s="17"/>
      <c r="D8" s="17"/>
      <c r="E8" s="17"/>
      <c r="F8" s="17"/>
      <c r="G8" s="17"/>
      <c r="H8" s="17"/>
      <c r="I8" s="17"/>
      <c r="J8" s="17"/>
      <c r="K8" s="17"/>
      <c r="L8" s="17"/>
    </row>
    <row r="9" spans="1:12">
      <c r="A9" s="17"/>
      <c r="B9" s="17"/>
      <c r="C9" s="17"/>
      <c r="D9" s="17"/>
      <c r="E9" s="17"/>
      <c r="F9" s="17"/>
      <c r="G9" s="17"/>
      <c r="H9" s="17"/>
      <c r="I9" s="17"/>
      <c r="J9" s="17"/>
      <c r="K9" s="17"/>
      <c r="L9" s="17"/>
    </row>
    <row r="10" spans="1:12">
      <c r="A10" s="17"/>
      <c r="B10" s="17"/>
      <c r="C10" s="17"/>
      <c r="D10" s="17"/>
      <c r="E10" s="17"/>
      <c r="F10" s="17"/>
      <c r="G10" s="17"/>
      <c r="H10" s="17"/>
      <c r="I10" s="17"/>
      <c r="J10" s="17"/>
      <c r="K10" s="17"/>
      <c r="L10" s="17"/>
    </row>
    <row r="11" spans="1:12">
      <c r="A11" s="17"/>
      <c r="B11" s="17"/>
      <c r="C11" s="17"/>
      <c r="D11" s="17"/>
      <c r="E11" s="17"/>
      <c r="F11" s="17"/>
      <c r="G11" s="17"/>
      <c r="H11" s="17"/>
      <c r="I11" s="17"/>
      <c r="J11" s="17"/>
      <c r="K11" s="17"/>
      <c r="L11" s="17"/>
    </row>
    <row r="12" spans="1:12">
      <c r="A12" s="17"/>
      <c r="B12" s="17"/>
      <c r="C12" s="17"/>
      <c r="D12" s="17"/>
      <c r="E12" s="17"/>
      <c r="F12" s="17"/>
      <c r="G12" s="17"/>
      <c r="H12" s="17"/>
      <c r="I12" s="17"/>
      <c r="J12" s="17"/>
      <c r="K12" s="17"/>
      <c r="L12" s="17"/>
    </row>
    <row r="13" spans="1:12">
      <c r="A13" s="17"/>
      <c r="B13" s="17"/>
      <c r="C13" s="17"/>
      <c r="D13" s="17"/>
      <c r="E13" s="17"/>
      <c r="F13" s="17"/>
      <c r="G13" s="17"/>
      <c r="H13" s="17"/>
      <c r="I13" s="17"/>
      <c r="J13" s="17"/>
      <c r="K13" s="17"/>
      <c r="L13" s="17"/>
    </row>
    <row r="14" spans="1:12">
      <c r="A14" s="17"/>
      <c r="B14" s="17"/>
      <c r="C14" s="17"/>
      <c r="D14" s="17"/>
      <c r="E14" s="17"/>
      <c r="F14" s="17"/>
      <c r="G14" s="17"/>
      <c r="H14" s="17"/>
      <c r="I14" s="17"/>
      <c r="J14" s="17"/>
      <c r="K14" s="17"/>
      <c r="L14" s="17"/>
    </row>
    <row r="15" spans="1:12">
      <c r="A15" s="17"/>
      <c r="B15" s="17"/>
      <c r="C15" s="17"/>
      <c r="D15" s="17"/>
      <c r="E15" s="17"/>
      <c r="F15" s="17"/>
      <c r="G15" s="17"/>
      <c r="H15" s="17"/>
      <c r="I15" s="17"/>
      <c r="J15" s="17"/>
      <c r="K15" s="17"/>
      <c r="L15" s="17"/>
    </row>
    <row r="16" spans="1:12">
      <c r="A16" s="17"/>
      <c r="B16" s="17"/>
      <c r="C16" s="17"/>
      <c r="D16" s="17"/>
      <c r="E16" s="17"/>
      <c r="F16" s="17"/>
      <c r="G16" s="17"/>
      <c r="H16" s="17"/>
      <c r="I16" s="17"/>
      <c r="J16" s="17"/>
      <c r="K16" s="17"/>
      <c r="L16" s="17"/>
    </row>
    <row r="17" spans="1:12">
      <c r="A17" s="17"/>
      <c r="B17" s="17"/>
      <c r="C17" s="17"/>
      <c r="D17" s="17"/>
      <c r="E17" s="17"/>
      <c r="F17" s="17"/>
      <c r="G17" s="17"/>
      <c r="H17" s="17"/>
      <c r="I17" s="17"/>
      <c r="J17" s="17"/>
      <c r="K17" s="17"/>
      <c r="L17" s="17"/>
    </row>
    <row r="18" spans="1:12">
      <c r="A18" s="17"/>
      <c r="B18" s="17"/>
      <c r="C18" s="17"/>
      <c r="D18" s="17"/>
      <c r="E18" s="17"/>
      <c r="F18" s="17"/>
      <c r="G18" s="17"/>
      <c r="H18" s="17"/>
      <c r="I18" s="17"/>
      <c r="J18" s="17"/>
      <c r="K18" s="17"/>
      <c r="L18" s="17"/>
    </row>
    <row r="19" spans="1:12">
      <c r="A19" s="17"/>
      <c r="B19" s="17"/>
      <c r="C19" s="17"/>
      <c r="D19" s="17"/>
      <c r="E19" s="17"/>
      <c r="F19" s="17"/>
      <c r="G19" s="17"/>
      <c r="H19" s="17"/>
      <c r="I19" s="17"/>
      <c r="J19" s="17"/>
      <c r="K19" s="17"/>
      <c r="L19" s="17"/>
    </row>
  </sheetData>
  <mergeCells count="1">
    <mergeCell ref="A3:L19"/>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showGridLines="0" workbookViewId="0">
      <selection activeCell="D15" sqref="D15"/>
    </sheetView>
  </sheetViews>
  <sheetFormatPr defaultColWidth="8.68518518518519" defaultRowHeight="14.4" outlineLevelRow="7" outlineLevelCol="5"/>
  <cols>
    <col min="2" max="2" width="31.4351851851852" customWidth="1"/>
    <col min="3" max="3" width="22.4351851851852" customWidth="1"/>
    <col min="4" max="4" width="24.7777777777778" customWidth="1"/>
  </cols>
  <sheetData>
    <row r="1" spans="1:6">
      <c r="A1" s="13" t="s">
        <v>122</v>
      </c>
      <c r="B1" s="13"/>
      <c r="C1" s="13"/>
      <c r="D1" s="13"/>
      <c r="E1" s="13"/>
      <c r="F1" s="13"/>
    </row>
    <row r="3" spans="1:6">
      <c r="A3" s="14" t="s">
        <v>123</v>
      </c>
      <c r="B3" s="14" t="s">
        <v>124</v>
      </c>
      <c r="C3" s="14" t="s">
        <v>125</v>
      </c>
      <c r="D3" s="14" t="s">
        <v>126</v>
      </c>
      <c r="E3" s="14" t="s">
        <v>127</v>
      </c>
      <c r="F3" s="14" t="s">
        <v>128</v>
      </c>
    </row>
    <row r="4" spans="1:6">
      <c r="A4" s="15">
        <v>1</v>
      </c>
      <c r="B4" s="15" t="s">
        <v>129</v>
      </c>
      <c r="C4" s="15" t="s">
        <v>130</v>
      </c>
      <c r="D4" s="15" t="s">
        <v>131</v>
      </c>
      <c r="E4" s="15"/>
      <c r="F4" s="15"/>
    </row>
    <row r="5" spans="1:6">
      <c r="A5" s="15">
        <v>2</v>
      </c>
      <c r="B5" s="15" t="s">
        <v>132</v>
      </c>
      <c r="C5" s="15" t="s">
        <v>133</v>
      </c>
      <c r="D5" s="15" t="s">
        <v>134</v>
      </c>
      <c r="E5" s="15"/>
      <c r="F5" s="15"/>
    </row>
    <row r="6" spans="1:6">
      <c r="A6" s="15">
        <v>3</v>
      </c>
      <c r="B6" s="15" t="s">
        <v>135</v>
      </c>
      <c r="C6" s="15" t="s">
        <v>136</v>
      </c>
      <c r="D6" s="15" t="s">
        <v>137</v>
      </c>
      <c r="E6" s="15"/>
      <c r="F6" s="15"/>
    </row>
    <row r="7" spans="1:6">
      <c r="A7" s="15">
        <v>4</v>
      </c>
      <c r="B7" s="15" t="s">
        <v>138</v>
      </c>
      <c r="C7" s="15" t="s">
        <v>139</v>
      </c>
      <c r="D7" s="15" t="s">
        <v>140</v>
      </c>
      <c r="E7" s="15"/>
      <c r="F7" s="15"/>
    </row>
    <row r="8" spans="1:6">
      <c r="A8" s="15">
        <v>5</v>
      </c>
      <c r="B8" s="15" t="s">
        <v>141</v>
      </c>
      <c r="C8" s="15" t="s">
        <v>142</v>
      </c>
      <c r="D8" s="15" t="s">
        <v>143</v>
      </c>
      <c r="E8" s="15"/>
      <c r="F8" s="15"/>
    </row>
  </sheetData>
  <mergeCells count="1">
    <mergeCell ref="A1:F1"/>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zoomScale="85" zoomScaleNormal="85" topLeftCell="A21" workbookViewId="0">
      <selection activeCell="D49" sqref="D49"/>
    </sheetView>
  </sheetViews>
  <sheetFormatPr defaultColWidth="8.88888888888889" defaultRowHeight="14.4" outlineLevelCol="3"/>
  <cols>
    <col min="1" max="1" width="23.4444444444444" customWidth="1"/>
    <col min="2" max="2" width="24.8888888888889" customWidth="1"/>
    <col min="3" max="3" width="18.7777777777778" style="7" customWidth="1"/>
    <col min="4" max="4" width="28.1111111111111" customWidth="1"/>
  </cols>
  <sheetData>
    <row r="1" ht="33" customHeight="1" spans="2:2">
      <c r="B1" s="8" t="s">
        <v>144</v>
      </c>
    </row>
    <row r="3" ht="27" customHeight="1" spans="1:4">
      <c r="A3" s="9" t="s">
        <v>145</v>
      </c>
      <c r="B3" s="9" t="s">
        <v>146</v>
      </c>
      <c r="C3" s="9" t="s">
        <v>147</v>
      </c>
      <c r="D3" s="9" t="s">
        <v>148</v>
      </c>
    </row>
    <row r="4" ht="45" customHeight="1" spans="1:4">
      <c r="A4" s="10" t="s">
        <v>149</v>
      </c>
      <c r="B4" s="10" t="s">
        <v>132</v>
      </c>
      <c r="C4" s="11">
        <v>46295</v>
      </c>
      <c r="D4" s="5" t="s">
        <v>150</v>
      </c>
    </row>
    <row r="5" ht="32" customHeight="1" spans="1:4">
      <c r="A5" s="10" t="s">
        <v>151</v>
      </c>
      <c r="B5" s="10" t="s">
        <v>138</v>
      </c>
      <c r="C5" s="11">
        <v>46295</v>
      </c>
      <c r="D5" s="5" t="s">
        <v>152</v>
      </c>
    </row>
    <row r="6" ht="46" customHeight="1" spans="1:4">
      <c r="A6" s="10" t="s">
        <v>153</v>
      </c>
      <c r="B6" s="10" t="s">
        <v>154</v>
      </c>
      <c r="C6" s="11">
        <v>46295</v>
      </c>
      <c r="D6" s="5" t="s">
        <v>155</v>
      </c>
    </row>
    <row r="7" ht="47" customHeight="1" spans="1:4">
      <c r="A7" s="10" t="s">
        <v>156</v>
      </c>
      <c r="B7" s="10" t="s">
        <v>157</v>
      </c>
      <c r="C7" s="11">
        <v>46295</v>
      </c>
      <c r="D7" s="5" t="s">
        <v>158</v>
      </c>
    </row>
    <row r="8" ht="31" customHeight="1" spans="1:4">
      <c r="A8" s="10" t="s">
        <v>159</v>
      </c>
      <c r="B8" s="10" t="s">
        <v>138</v>
      </c>
      <c r="C8" s="11">
        <v>46295</v>
      </c>
      <c r="D8" s="5" t="s">
        <v>152</v>
      </c>
    </row>
    <row r="9" ht="34" customHeight="1" spans="1:4">
      <c r="A9" s="10" t="s">
        <v>160</v>
      </c>
      <c r="B9" s="10" t="s">
        <v>161</v>
      </c>
      <c r="C9" s="11">
        <v>46295</v>
      </c>
      <c r="D9" s="5" t="s">
        <v>162</v>
      </c>
    </row>
    <row r="10" ht="33" customHeight="1" spans="1:4">
      <c r="A10" s="10" t="s">
        <v>163</v>
      </c>
      <c r="B10" s="10" t="s">
        <v>138</v>
      </c>
      <c r="C10" s="11">
        <v>46295</v>
      </c>
      <c r="D10" s="5" t="s">
        <v>164</v>
      </c>
    </row>
    <row r="11" ht="36" customHeight="1" spans="1:4">
      <c r="A11" s="10" t="s">
        <v>165</v>
      </c>
      <c r="B11" s="10" t="s">
        <v>161</v>
      </c>
      <c r="C11" s="11">
        <v>46295</v>
      </c>
      <c r="D11" s="5" t="s">
        <v>162</v>
      </c>
    </row>
    <row r="12" ht="35" customHeight="1" spans="1:4">
      <c r="A12" s="10" t="s">
        <v>166</v>
      </c>
      <c r="B12" s="10" t="s">
        <v>132</v>
      </c>
      <c r="C12" s="11">
        <v>46295</v>
      </c>
      <c r="D12" s="12" t="s">
        <v>150</v>
      </c>
    </row>
    <row r="13" ht="31" customHeight="1" spans="1:4">
      <c r="A13" s="10" t="s">
        <v>167</v>
      </c>
      <c r="B13" s="10" t="s">
        <v>141</v>
      </c>
      <c r="C13" s="11">
        <v>46295</v>
      </c>
      <c r="D13" s="5" t="s">
        <v>168</v>
      </c>
    </row>
    <row r="14" ht="34" customHeight="1" spans="1:4">
      <c r="A14" s="10" t="s">
        <v>169</v>
      </c>
      <c r="B14" s="10" t="s">
        <v>135</v>
      </c>
      <c r="C14" s="11">
        <v>46295</v>
      </c>
      <c r="D14" s="5" t="s">
        <v>170</v>
      </c>
    </row>
    <row r="15" ht="35" customHeight="1" spans="1:4">
      <c r="A15" s="10" t="s">
        <v>171</v>
      </c>
      <c r="B15" s="10" t="s">
        <v>132</v>
      </c>
      <c r="C15" s="11">
        <v>46295</v>
      </c>
      <c r="D15" s="5" t="s">
        <v>150</v>
      </c>
    </row>
    <row r="16" ht="28" customHeight="1" spans="1:4">
      <c r="A16" s="10" t="s">
        <v>172</v>
      </c>
      <c r="B16" s="10" t="s">
        <v>138</v>
      </c>
      <c r="C16" s="11">
        <v>46295</v>
      </c>
      <c r="D16" s="5" t="s">
        <v>164</v>
      </c>
    </row>
    <row r="17" ht="57" customHeight="1" spans="1:4">
      <c r="A17" s="10" t="s">
        <v>173</v>
      </c>
      <c r="B17" s="10" t="s">
        <v>174</v>
      </c>
      <c r="C17" s="11">
        <v>46295</v>
      </c>
      <c r="D17" s="5" t="s">
        <v>175</v>
      </c>
    </row>
    <row r="18" ht="36" customHeight="1" spans="1:4">
      <c r="A18" s="10" t="s">
        <v>176</v>
      </c>
      <c r="B18" s="10" t="s">
        <v>177</v>
      </c>
      <c r="C18" s="11">
        <v>46295</v>
      </c>
      <c r="D18" s="5" t="s">
        <v>178</v>
      </c>
    </row>
    <row r="19" ht="45" customHeight="1" spans="1:4">
      <c r="A19" s="10" t="s">
        <v>179</v>
      </c>
      <c r="B19" s="10" t="s">
        <v>138</v>
      </c>
      <c r="C19" s="11">
        <v>46295</v>
      </c>
      <c r="D19" s="5" t="s">
        <v>164</v>
      </c>
    </row>
    <row r="20" ht="42" customHeight="1" spans="1:4">
      <c r="A20" s="10" t="s">
        <v>180</v>
      </c>
      <c r="B20" s="10" t="s">
        <v>161</v>
      </c>
      <c r="C20" s="11">
        <v>46295</v>
      </c>
      <c r="D20" s="5" t="s">
        <v>162</v>
      </c>
    </row>
    <row r="21" ht="30" customHeight="1" spans="1:4">
      <c r="A21" s="10" t="s">
        <v>181</v>
      </c>
      <c r="B21" s="10" t="s">
        <v>182</v>
      </c>
      <c r="C21" s="11">
        <v>46295</v>
      </c>
      <c r="D21" s="5" t="s">
        <v>183</v>
      </c>
    </row>
    <row r="22" ht="40" customHeight="1" spans="1:4">
      <c r="A22" s="10" t="s">
        <v>184</v>
      </c>
      <c r="B22" s="10" t="s">
        <v>185</v>
      </c>
      <c r="C22" s="11">
        <v>46295</v>
      </c>
      <c r="D22" s="5" t="s">
        <v>150</v>
      </c>
    </row>
    <row r="23" ht="32" customHeight="1" spans="1:4">
      <c r="A23" s="10" t="s">
        <v>186</v>
      </c>
      <c r="B23" s="10" t="s">
        <v>132</v>
      </c>
      <c r="C23" s="11">
        <v>46295</v>
      </c>
      <c r="D23" s="5" t="s">
        <v>150</v>
      </c>
    </row>
    <row r="24" ht="28" customHeight="1" spans="1:4">
      <c r="A24" s="10" t="s">
        <v>187</v>
      </c>
      <c r="B24" s="10" t="s">
        <v>141</v>
      </c>
      <c r="C24" s="11">
        <v>46295</v>
      </c>
      <c r="D24" s="5" t="s">
        <v>168</v>
      </c>
    </row>
    <row r="25" ht="33" customHeight="1" spans="1:4">
      <c r="A25" s="10" t="s">
        <v>188</v>
      </c>
      <c r="B25" s="10" t="s">
        <v>138</v>
      </c>
      <c r="C25" s="11">
        <v>46295</v>
      </c>
      <c r="D25" s="5" t="s">
        <v>164</v>
      </c>
    </row>
    <row r="26" ht="23" customHeight="1" spans="1:4">
      <c r="A26" s="10" t="s">
        <v>189</v>
      </c>
      <c r="B26" s="10" t="s">
        <v>161</v>
      </c>
      <c r="C26" s="11">
        <v>46295</v>
      </c>
      <c r="D26" s="5" t="s">
        <v>162</v>
      </c>
    </row>
    <row r="27" ht="44" customHeight="1" spans="1:4">
      <c r="A27" s="10" t="s">
        <v>190</v>
      </c>
      <c r="B27" s="10" t="s">
        <v>191</v>
      </c>
      <c r="C27" s="11">
        <v>46295</v>
      </c>
      <c r="D27" s="5" t="s">
        <v>192</v>
      </c>
    </row>
    <row r="28" ht="35" customHeight="1" spans="1:4">
      <c r="A28" s="10" t="s">
        <v>193</v>
      </c>
      <c r="B28" s="10" t="s">
        <v>138</v>
      </c>
      <c r="C28" s="11">
        <v>46295</v>
      </c>
      <c r="D28" s="5" t="s">
        <v>164</v>
      </c>
    </row>
    <row r="29" ht="37" customHeight="1" spans="1:4">
      <c r="A29" s="10" t="s">
        <v>194</v>
      </c>
      <c r="B29" s="10" t="s">
        <v>195</v>
      </c>
      <c r="C29" s="11">
        <v>46295</v>
      </c>
      <c r="D29" s="5" t="s">
        <v>196</v>
      </c>
    </row>
    <row r="30" ht="33" customHeight="1" spans="1:4">
      <c r="A30" s="10" t="s">
        <v>197</v>
      </c>
      <c r="B30" s="10" t="s">
        <v>129</v>
      </c>
      <c r="C30" s="11">
        <v>46295</v>
      </c>
      <c r="D30" s="5" t="s">
        <v>198</v>
      </c>
    </row>
    <row r="31" ht="44" customHeight="1" spans="1:4">
      <c r="A31" s="10" t="s">
        <v>199</v>
      </c>
      <c r="B31" s="10" t="s">
        <v>132</v>
      </c>
      <c r="C31" s="11">
        <v>46295</v>
      </c>
      <c r="D31" s="5" t="s">
        <v>150</v>
      </c>
    </row>
    <row r="32" ht="42" customHeight="1" spans="1:4">
      <c r="A32" s="10" t="s">
        <v>200</v>
      </c>
      <c r="B32" s="10" t="s">
        <v>138</v>
      </c>
      <c r="C32" s="11">
        <v>46295</v>
      </c>
      <c r="D32" s="5" t="s">
        <v>164</v>
      </c>
    </row>
    <row r="33" ht="41" customHeight="1" spans="1:4">
      <c r="A33" s="10" t="s">
        <v>201</v>
      </c>
      <c r="B33" s="10" t="s">
        <v>154</v>
      </c>
      <c r="C33" s="11">
        <v>46295</v>
      </c>
      <c r="D33" s="5" t="s">
        <v>155</v>
      </c>
    </row>
    <row r="34" ht="41" customHeight="1" spans="1:4">
      <c r="A34" s="10" t="s">
        <v>202</v>
      </c>
      <c r="B34" s="10" t="s">
        <v>132</v>
      </c>
      <c r="C34" s="11">
        <v>46295</v>
      </c>
      <c r="D34" s="5" t="s">
        <v>150</v>
      </c>
    </row>
    <row r="35" ht="37" customHeight="1" spans="1:4">
      <c r="A35" s="10" t="s">
        <v>203</v>
      </c>
      <c r="B35" s="10" t="s">
        <v>204</v>
      </c>
      <c r="C35" s="11">
        <v>46295</v>
      </c>
      <c r="D35" s="5" t="s">
        <v>205</v>
      </c>
    </row>
    <row r="36" ht="33" customHeight="1" spans="1:4">
      <c r="A36" s="10" t="s">
        <v>206</v>
      </c>
      <c r="B36" s="10" t="s">
        <v>161</v>
      </c>
      <c r="C36" s="11">
        <v>46295</v>
      </c>
      <c r="D36" s="5" t="s">
        <v>162</v>
      </c>
    </row>
    <row r="37" ht="33" customHeight="1" spans="1:4">
      <c r="A37" s="10" t="s">
        <v>207</v>
      </c>
      <c r="B37" s="10" t="s">
        <v>191</v>
      </c>
      <c r="C37" s="11">
        <v>46295</v>
      </c>
      <c r="D37" s="5" t="s">
        <v>192</v>
      </c>
    </row>
    <row r="38" ht="36" customHeight="1" spans="1:4">
      <c r="A38" s="10" t="s">
        <v>208</v>
      </c>
      <c r="B38" s="10" t="s">
        <v>209</v>
      </c>
      <c r="C38" s="11">
        <v>46295</v>
      </c>
      <c r="D38" s="5" t="s">
        <v>210</v>
      </c>
    </row>
    <row r="39" ht="37" customHeight="1" spans="1:4">
      <c r="A39" s="10" t="s">
        <v>211</v>
      </c>
      <c r="B39" s="10" t="s">
        <v>135</v>
      </c>
      <c r="C39" s="11">
        <v>46295</v>
      </c>
      <c r="D39" s="5" t="s">
        <v>170</v>
      </c>
    </row>
    <row r="40" ht="24" customHeight="1" spans="1:4">
      <c r="A40" s="10" t="s">
        <v>212</v>
      </c>
      <c r="B40" s="10" t="s">
        <v>129</v>
      </c>
      <c r="C40" s="11">
        <v>46295</v>
      </c>
      <c r="D40" s="5" t="s">
        <v>198</v>
      </c>
    </row>
    <row r="41" ht="43.2" spans="1:4">
      <c r="A41" s="10" t="s">
        <v>213</v>
      </c>
      <c r="B41" s="10" t="s">
        <v>132</v>
      </c>
      <c r="C41" s="11">
        <v>46295</v>
      </c>
      <c r="D41" s="5" t="s">
        <v>150</v>
      </c>
    </row>
    <row r="42" ht="28.8" spans="1:4">
      <c r="A42" s="10" t="s">
        <v>214</v>
      </c>
      <c r="B42" s="10" t="s">
        <v>177</v>
      </c>
      <c r="C42" s="11">
        <v>46295</v>
      </c>
      <c r="D42" s="5" t="s">
        <v>178</v>
      </c>
    </row>
    <row r="43" ht="28.8" spans="1:4">
      <c r="A43" s="10" t="s">
        <v>215</v>
      </c>
      <c r="B43" s="10" t="s">
        <v>138</v>
      </c>
      <c r="C43" s="11">
        <v>46295</v>
      </c>
      <c r="D43" s="5" t="s">
        <v>164</v>
      </c>
    </row>
    <row r="44" ht="41" customHeight="1" spans="1:4">
      <c r="A44" s="10" t="s">
        <v>216</v>
      </c>
      <c r="B44" s="10" t="s">
        <v>161</v>
      </c>
      <c r="C44" s="11">
        <v>46295</v>
      </c>
      <c r="D44" s="5" t="s">
        <v>162</v>
      </c>
    </row>
    <row r="45" ht="28.8" spans="1:4">
      <c r="A45" s="10" t="s">
        <v>217</v>
      </c>
      <c r="B45" s="10" t="s">
        <v>132</v>
      </c>
      <c r="C45" s="11">
        <v>46295</v>
      </c>
      <c r="D45" s="5" t="s">
        <v>150</v>
      </c>
    </row>
    <row r="46" ht="28.8" spans="1:4">
      <c r="A46" s="10" t="s">
        <v>218</v>
      </c>
      <c r="B46" s="10" t="s">
        <v>138</v>
      </c>
      <c r="C46" s="11">
        <v>46295</v>
      </c>
      <c r="D46" s="5" t="s">
        <v>219</v>
      </c>
    </row>
    <row r="47" ht="28.8" spans="1:4">
      <c r="A47" s="10" t="s">
        <v>220</v>
      </c>
      <c r="B47" s="10" t="s">
        <v>141</v>
      </c>
      <c r="C47" s="11">
        <v>46295</v>
      </c>
      <c r="D47" s="5" t="s">
        <v>168</v>
      </c>
    </row>
    <row r="48" ht="39" customHeight="1" spans="1:4">
      <c r="A48" s="10" t="s">
        <v>221</v>
      </c>
      <c r="B48" s="10" t="s">
        <v>161</v>
      </c>
      <c r="C48" s="11">
        <v>46295</v>
      </c>
      <c r="D48" s="5" t="s">
        <v>162</v>
      </c>
    </row>
    <row r="49" ht="26" customHeight="1" spans="1:4">
      <c r="A49" s="10" t="s">
        <v>222</v>
      </c>
      <c r="B49" s="10" t="s">
        <v>135</v>
      </c>
      <c r="C49" s="11">
        <v>46295</v>
      </c>
      <c r="D49" s="5" t="s">
        <v>150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tabSelected="1" zoomScale="55" zoomScaleNormal="55" workbookViewId="0">
      <selection activeCell="I18" sqref="I18"/>
    </sheetView>
  </sheetViews>
  <sheetFormatPr defaultColWidth="8.88888888888889" defaultRowHeight="14.4" outlineLevelCol="6"/>
  <cols>
    <col min="2" max="2" width="19.5555555555556" customWidth="1"/>
    <col min="3" max="3" width="15.5555555555556" customWidth="1"/>
    <col min="4" max="4" width="12.1111111111111" customWidth="1"/>
    <col min="5" max="5" width="14.1111111111111" customWidth="1"/>
    <col min="6" max="6" width="11.6666666666667" customWidth="1"/>
    <col min="7" max="7" width="12.9351851851852" customWidth="1"/>
  </cols>
  <sheetData>
    <row r="1" ht="28" customHeight="1" spans="2:3">
      <c r="B1" s="1" t="s">
        <v>223</v>
      </c>
      <c r="C1" s="2"/>
    </row>
    <row r="3" ht="20" customHeight="1" spans="1:7">
      <c r="A3" s="3" t="s">
        <v>224</v>
      </c>
      <c r="B3" s="3" t="s">
        <v>225</v>
      </c>
      <c r="C3" s="3" t="s">
        <v>226</v>
      </c>
      <c r="D3" s="3" t="s">
        <v>227</v>
      </c>
      <c r="E3" s="3" t="s">
        <v>228</v>
      </c>
      <c r="F3" s="3" t="s">
        <v>229</v>
      </c>
      <c r="G3" s="4" t="s">
        <v>230</v>
      </c>
    </row>
    <row r="4" ht="37" customHeight="1" spans="1:7">
      <c r="A4" s="5" t="s">
        <v>231</v>
      </c>
      <c r="B4" s="5" t="s">
        <v>232</v>
      </c>
      <c r="C4" s="5" t="s">
        <v>233</v>
      </c>
      <c r="D4" s="5">
        <v>3</v>
      </c>
      <c r="E4" s="5">
        <v>5</v>
      </c>
      <c r="F4" s="5">
        <v>7</v>
      </c>
      <c r="G4" s="6">
        <v>5</v>
      </c>
    </row>
    <row r="5" ht="51" customHeight="1" spans="1:7">
      <c r="A5" s="5" t="s">
        <v>234</v>
      </c>
      <c r="B5" s="5" t="s">
        <v>235</v>
      </c>
      <c r="C5" s="5" t="s">
        <v>231</v>
      </c>
      <c r="D5" s="5">
        <v>2</v>
      </c>
      <c r="E5" s="5">
        <v>3</v>
      </c>
      <c r="F5" s="5">
        <v>5</v>
      </c>
      <c r="G5" s="6">
        <v>3</v>
      </c>
    </row>
    <row r="6" ht="57" customHeight="1" spans="1:7">
      <c r="A6" s="5" t="s">
        <v>236</v>
      </c>
      <c r="B6" s="5" t="s">
        <v>237</v>
      </c>
      <c r="C6" s="5" t="s">
        <v>231</v>
      </c>
      <c r="D6" s="5">
        <v>3</v>
      </c>
      <c r="E6" s="5">
        <v>4</v>
      </c>
      <c r="F6" s="5">
        <v>6</v>
      </c>
      <c r="G6" s="6">
        <v>4</v>
      </c>
    </row>
    <row r="7" ht="56" customHeight="1" spans="1:7">
      <c r="A7" s="5" t="s">
        <v>238</v>
      </c>
      <c r="B7" s="5" t="s">
        <v>239</v>
      </c>
      <c r="C7" s="5" t="s">
        <v>231</v>
      </c>
      <c r="D7" s="5">
        <v>3</v>
      </c>
      <c r="E7" s="5">
        <v>5</v>
      </c>
      <c r="F7" s="5">
        <v>7</v>
      </c>
      <c r="G7" s="6">
        <v>5</v>
      </c>
    </row>
    <row r="8" ht="64" customHeight="1" spans="1:7">
      <c r="A8" s="5" t="s">
        <v>240</v>
      </c>
      <c r="B8" s="5" t="s">
        <v>241</v>
      </c>
      <c r="C8" s="5" t="s">
        <v>231</v>
      </c>
      <c r="D8" s="5">
        <v>3</v>
      </c>
      <c r="E8" s="5">
        <v>5</v>
      </c>
      <c r="F8" s="5">
        <v>7</v>
      </c>
      <c r="G8" s="6">
        <v>5</v>
      </c>
    </row>
    <row r="9" ht="43" customHeight="1" spans="1:7">
      <c r="A9" s="5" t="s">
        <v>242</v>
      </c>
      <c r="B9" s="5" t="s">
        <v>243</v>
      </c>
      <c r="C9" s="5" t="s">
        <v>244</v>
      </c>
      <c r="D9" s="5">
        <v>4</v>
      </c>
      <c r="E9" s="5">
        <v>6</v>
      </c>
      <c r="F9" s="5">
        <v>8</v>
      </c>
      <c r="G9" s="6">
        <v>6</v>
      </c>
    </row>
    <row r="10" ht="42" customHeight="1" spans="1:7">
      <c r="A10" s="5" t="s">
        <v>245</v>
      </c>
      <c r="B10" s="5" t="s">
        <v>246</v>
      </c>
      <c r="C10" s="5" t="s">
        <v>244</v>
      </c>
      <c r="D10" s="5">
        <v>4</v>
      </c>
      <c r="E10" s="5">
        <v>6</v>
      </c>
      <c r="F10" s="5">
        <v>9</v>
      </c>
      <c r="G10" s="6">
        <v>6</v>
      </c>
    </row>
    <row r="11" ht="40" customHeight="1" spans="1:7">
      <c r="A11" s="5" t="s">
        <v>247</v>
      </c>
      <c r="B11" s="5" t="s">
        <v>248</v>
      </c>
      <c r="C11" s="5" t="s">
        <v>249</v>
      </c>
      <c r="D11" s="5">
        <v>4</v>
      </c>
      <c r="E11" s="5">
        <v>6</v>
      </c>
      <c r="F11" s="5">
        <v>8</v>
      </c>
      <c r="G11" s="6">
        <v>6</v>
      </c>
    </row>
    <row r="12" ht="41" customHeight="1" spans="1:7">
      <c r="A12" s="5" t="s">
        <v>250</v>
      </c>
      <c r="B12" s="5" t="s">
        <v>251</v>
      </c>
      <c r="C12" s="5" t="s">
        <v>249</v>
      </c>
      <c r="D12" s="5">
        <v>5</v>
      </c>
      <c r="E12" s="5">
        <v>7</v>
      </c>
      <c r="F12" s="5">
        <v>10</v>
      </c>
      <c r="G12" s="6">
        <v>7</v>
      </c>
    </row>
    <row r="13" ht="42" customHeight="1" spans="1:7">
      <c r="A13" s="5" t="s">
        <v>252</v>
      </c>
      <c r="B13" s="5" t="s">
        <v>253</v>
      </c>
      <c r="C13" s="5" t="s">
        <v>254</v>
      </c>
      <c r="D13" s="5">
        <v>5</v>
      </c>
      <c r="E13" s="5">
        <v>8</v>
      </c>
      <c r="F13" s="5">
        <v>11</v>
      </c>
      <c r="G13" s="6">
        <v>8</v>
      </c>
    </row>
    <row r="14" ht="39" customHeight="1" spans="1:7">
      <c r="A14" s="5" t="s">
        <v>255</v>
      </c>
      <c r="B14" s="5" t="s">
        <v>256</v>
      </c>
      <c r="C14" s="5" t="s">
        <v>257</v>
      </c>
      <c r="D14" s="5">
        <v>5</v>
      </c>
      <c r="E14" s="5">
        <v>8</v>
      </c>
      <c r="F14" s="5">
        <v>11</v>
      </c>
      <c r="G14" s="6">
        <v>8</v>
      </c>
    </row>
    <row r="15" ht="38" customHeight="1" spans="1:7">
      <c r="A15" s="5" t="s">
        <v>258</v>
      </c>
      <c r="B15" s="5" t="s">
        <v>259</v>
      </c>
      <c r="C15" s="5" t="s">
        <v>260</v>
      </c>
      <c r="D15" s="5">
        <v>3</v>
      </c>
      <c r="E15" s="5">
        <v>5</v>
      </c>
      <c r="F15" s="5">
        <v>7</v>
      </c>
      <c r="G15" s="6">
        <v>5</v>
      </c>
    </row>
    <row r="16" ht="39" customHeight="1" spans="1:7">
      <c r="A16" s="5" t="s">
        <v>261</v>
      </c>
      <c r="B16" s="5" t="s">
        <v>262</v>
      </c>
      <c r="C16" s="5" t="s">
        <v>263</v>
      </c>
      <c r="D16" s="5">
        <v>4</v>
      </c>
      <c r="E16" s="5">
        <v>6</v>
      </c>
      <c r="F16" s="5">
        <v>9</v>
      </c>
      <c r="G16" s="6">
        <v>6</v>
      </c>
    </row>
    <row r="17" ht="46" customHeight="1" spans="1:7">
      <c r="A17" s="5" t="s">
        <v>264</v>
      </c>
      <c r="B17" s="5" t="s">
        <v>265</v>
      </c>
      <c r="C17" s="5" t="s">
        <v>261</v>
      </c>
      <c r="D17" s="5">
        <v>4</v>
      </c>
      <c r="E17" s="5">
        <v>6</v>
      </c>
      <c r="F17" s="5">
        <v>9</v>
      </c>
      <c r="G17" s="6">
        <v>6</v>
      </c>
    </row>
    <row r="18" ht="40" customHeight="1" spans="1:7">
      <c r="A18" s="5" t="s">
        <v>266</v>
      </c>
      <c r="B18" s="5" t="s">
        <v>267</v>
      </c>
      <c r="C18" s="5" t="s">
        <v>264</v>
      </c>
      <c r="D18" s="5">
        <v>3</v>
      </c>
      <c r="E18" s="5">
        <v>5</v>
      </c>
      <c r="F18" s="5">
        <v>8</v>
      </c>
      <c r="G18" s="6">
        <v>5</v>
      </c>
    </row>
    <row r="19" ht="39" customHeight="1" spans="1:7">
      <c r="A19" s="5" t="s">
        <v>268</v>
      </c>
      <c r="B19" s="5" t="s">
        <v>269</v>
      </c>
      <c r="C19" s="5" t="s">
        <v>270</v>
      </c>
      <c r="D19" s="5">
        <v>2</v>
      </c>
      <c r="E19" s="5">
        <v>3</v>
      </c>
      <c r="F19" s="5">
        <v>5</v>
      </c>
      <c r="G19" s="6">
        <v>3</v>
      </c>
    </row>
    <row r="20" ht="33" customHeight="1" spans="1:7">
      <c r="A20" s="5" t="s">
        <v>271</v>
      </c>
      <c r="B20" s="5" t="s">
        <v>272</v>
      </c>
      <c r="C20" s="5" t="s">
        <v>273</v>
      </c>
      <c r="D20" s="5">
        <v>2</v>
      </c>
      <c r="E20" s="5">
        <v>3</v>
      </c>
      <c r="F20" s="5">
        <v>4</v>
      </c>
      <c r="G20" s="6">
        <v>3</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6</vt:i4>
      </vt:variant>
    </vt:vector>
  </HeadingPairs>
  <TitlesOfParts>
    <vt:vector size="6" baseType="lpstr">
      <vt:lpstr>Product Backlog</vt:lpstr>
      <vt:lpstr>Sprint Backlog</vt:lpstr>
      <vt:lpstr>Project Information</vt:lpstr>
      <vt:lpstr>team</vt:lpstr>
      <vt:lpstr>Bảng phân công công việc </vt:lpstr>
      <vt:lpstr>PERT CHART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cp:revision>0</cp:revision>
  <dcterms:created xsi:type="dcterms:W3CDTF">2026-09-11T05:27:00Z</dcterms:created>
  <dcterms:modified xsi:type="dcterms:W3CDTF">2026-09-17T16:31:37Z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99AB1B0118D94EE7AD5ED018757A7E78_12</vt:lpwstr>
  </property>
  <property fmtid="{D5CDD505-2E9C-101B-9397-08002B2CF9AE}" pid="3" name="KSOProductBuildVer">
    <vt:lpwstr>1033-11.2.0.9052</vt:lpwstr>
  </property>
  <property fmtid="{D5CDD505-2E9C-101B-9397-08002B2CF9AE}" pid="4" name="CalculationRule">
    <vt:i4>0</vt:i4>
  </property>
</Properties>
</file>